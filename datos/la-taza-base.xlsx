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Productos" sheetId="2" state="visible" r:id="rId2"/>
    <sheet name="Ventas" sheetId="3" state="visible" r:id="rId3"/>
    <sheet name="Empleados" sheetId="4" state="visible" r:id="rId4"/>
    <sheet name="Clientes" sheetId="5" state="visible" r:id="rId5"/>
    <sheet name="Pedidos" sheetId="6" state="visible" r:id="rId6"/>
    <sheet name="Inventario" sheetId="7" state="visible" r:id="rId7"/>
    <sheet name="Presupues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dd/mm/yyyy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Cafetería La Taza · datos del caso</t>
        </is>
      </c>
    </row>
    <row r="3">
      <c r="A3" t="inlineStr">
        <is>
          <t>Libro de datos del curso «Excel con La Taza». Todos los módulos usan estas mismas tablas.</t>
        </is>
      </c>
    </row>
    <row r="4">
      <c r="A4" t="inlineStr">
        <is>
          <t>Productos: catálogo de 20 productos con precio y costo.</t>
        </is>
      </c>
    </row>
    <row r="5">
      <c r="A5" t="inlineStr">
        <is>
          <t>Ventas: 720 registros de 2025 (día, sucursal y producto).</t>
        </is>
      </c>
    </row>
    <row r="6">
      <c r="A6" t="inlineStr">
        <is>
          <t>Empleados: 20 vendedores con sus ventas de octubre y noviembre.</t>
        </is>
      </c>
    </row>
    <row r="7">
      <c r="A7" t="inlineStr">
        <is>
          <t>Clientes: base del programa de lealtad (sin limpiar).</t>
        </is>
      </c>
    </row>
    <row r="8">
      <c r="A8" t="inlineStr">
        <is>
          <t>Pedidos: 40 pedidos de catering con fecha de compromiso y estado.</t>
        </is>
      </c>
    </row>
    <row r="9">
      <c r="A9" t="inlineStr">
        <is>
          <t>Inventario y Presupuesto: insumos y gastos del semestre.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9" customWidth="1" min="4" max="4"/>
    <col width="9" customWidth="1" min="5" max="5"/>
  </cols>
  <sheetData>
    <row r="1">
      <c r="A1" s="2" t="inlineStr">
        <is>
          <t>Código</t>
        </is>
      </c>
      <c r="B1" s="2" t="inlineStr">
        <is>
          <t>Producto</t>
        </is>
      </c>
      <c r="C1" s="2" t="inlineStr">
        <is>
          <t>Categoría</t>
        </is>
      </c>
      <c r="D1" s="2" t="inlineStr">
        <is>
          <t>Precio</t>
        </is>
      </c>
      <c r="E1" s="2" t="inlineStr">
        <is>
          <t>Costo</t>
        </is>
      </c>
    </row>
    <row r="2">
      <c r="A2" t="inlineStr">
        <is>
          <t>CAF-001</t>
        </is>
      </c>
      <c r="B2" t="inlineStr">
        <is>
          <t>Espresso</t>
        </is>
      </c>
      <c r="C2" t="inlineStr">
        <is>
          <t>Café caliente</t>
        </is>
      </c>
      <c r="D2" s="3" t="n">
        <v>35</v>
      </c>
      <c r="E2" s="3" t="n">
        <v>8</v>
      </c>
    </row>
    <row r="3">
      <c r="A3" t="inlineStr">
        <is>
          <t>CAF-002</t>
        </is>
      </c>
      <c r="B3" t="inlineStr">
        <is>
          <t>Americano</t>
        </is>
      </c>
      <c r="C3" t="inlineStr">
        <is>
          <t>Café caliente</t>
        </is>
      </c>
      <c r="D3" s="3" t="n">
        <v>40</v>
      </c>
      <c r="E3" s="3" t="n">
        <v>9</v>
      </c>
    </row>
    <row r="4">
      <c r="A4" t="inlineStr">
        <is>
          <t>CAF-003</t>
        </is>
      </c>
      <c r="B4" t="inlineStr">
        <is>
          <t>Capuchino</t>
        </is>
      </c>
      <c r="C4" t="inlineStr">
        <is>
          <t>Café caliente</t>
        </is>
      </c>
      <c r="D4" s="3" t="n">
        <v>52</v>
      </c>
      <c r="E4" s="3" t="n">
        <v>13</v>
      </c>
    </row>
    <row r="5">
      <c r="A5" t="inlineStr">
        <is>
          <t>CAF-004</t>
        </is>
      </c>
      <c r="B5" t="inlineStr">
        <is>
          <t>Latte</t>
        </is>
      </c>
      <c r="C5" t="inlineStr">
        <is>
          <t>Café caliente</t>
        </is>
      </c>
      <c r="D5" s="3" t="n">
        <v>55</v>
      </c>
      <c r="E5" s="3" t="n">
        <v>14</v>
      </c>
    </row>
    <row r="6">
      <c r="A6" t="inlineStr">
        <is>
          <t>CAF-005</t>
        </is>
      </c>
      <c r="B6" t="inlineStr">
        <is>
          <t>Moka</t>
        </is>
      </c>
      <c r="C6" t="inlineStr">
        <is>
          <t>Café caliente</t>
        </is>
      </c>
      <c r="D6" s="3" t="n">
        <v>60</v>
      </c>
      <c r="E6" s="3" t="n">
        <v>16</v>
      </c>
    </row>
    <row r="7">
      <c r="A7" t="inlineStr">
        <is>
          <t>CAF-006</t>
        </is>
      </c>
      <c r="B7" t="inlineStr">
        <is>
          <t>Café de olla</t>
        </is>
      </c>
      <c r="C7" t="inlineStr">
        <is>
          <t>Café caliente</t>
        </is>
      </c>
      <c r="D7" s="3" t="n">
        <v>38</v>
      </c>
      <c r="E7" s="3" t="n">
        <v>8</v>
      </c>
    </row>
    <row r="8">
      <c r="A8" t="inlineStr">
        <is>
          <t>FRI-001</t>
        </is>
      </c>
      <c r="B8" t="inlineStr">
        <is>
          <t>Frappé moka</t>
        </is>
      </c>
      <c r="C8" t="inlineStr">
        <is>
          <t>Café frío</t>
        </is>
      </c>
      <c r="D8" s="3" t="n">
        <v>68</v>
      </c>
      <c r="E8" s="3" t="n">
        <v>18</v>
      </c>
    </row>
    <row r="9">
      <c r="A9" t="inlineStr">
        <is>
          <t>FRI-002</t>
        </is>
      </c>
      <c r="B9" t="inlineStr">
        <is>
          <t>Cold brew</t>
        </is>
      </c>
      <c r="C9" t="inlineStr">
        <is>
          <t>Café frío</t>
        </is>
      </c>
      <c r="D9" s="3" t="n">
        <v>58</v>
      </c>
      <c r="E9" s="3" t="n">
        <v>12</v>
      </c>
    </row>
    <row r="10">
      <c r="A10" t="inlineStr">
        <is>
          <t>FRI-003</t>
        </is>
      </c>
      <c r="B10" t="inlineStr">
        <is>
          <t>Latte helado</t>
        </is>
      </c>
      <c r="C10" t="inlineStr">
        <is>
          <t>Café frío</t>
        </is>
      </c>
      <c r="D10" s="3" t="n">
        <v>58</v>
      </c>
      <c r="E10" s="3" t="n">
        <v>15</v>
      </c>
    </row>
    <row r="11">
      <c r="A11" t="inlineStr">
        <is>
          <t>TE-001</t>
        </is>
      </c>
      <c r="B11" t="inlineStr">
        <is>
          <t>Chai latte</t>
        </is>
      </c>
      <c r="C11" t="inlineStr">
        <is>
          <t>Té</t>
        </is>
      </c>
      <c r="D11" s="3" t="n">
        <v>54</v>
      </c>
      <c r="E11" s="3" t="n">
        <v>14</v>
      </c>
    </row>
    <row r="12">
      <c r="A12" t="inlineStr">
        <is>
          <t>TE-002</t>
        </is>
      </c>
      <c r="B12" t="inlineStr">
        <is>
          <t>Té verde</t>
        </is>
      </c>
      <c r="C12" t="inlineStr">
        <is>
          <t>Té</t>
        </is>
      </c>
      <c r="D12" s="3" t="n">
        <v>38</v>
      </c>
      <c r="E12" s="3" t="n">
        <v>7</v>
      </c>
    </row>
    <row r="13">
      <c r="A13" t="inlineStr">
        <is>
          <t>PAN-001</t>
        </is>
      </c>
      <c r="B13" t="inlineStr">
        <is>
          <t>Croissant</t>
        </is>
      </c>
      <c r="C13" t="inlineStr">
        <is>
          <t>Panadería</t>
        </is>
      </c>
      <c r="D13" s="3" t="n">
        <v>38</v>
      </c>
      <c r="E13" s="3" t="n">
        <v>12</v>
      </c>
    </row>
    <row r="14">
      <c r="A14" t="inlineStr">
        <is>
          <t>PAN-002</t>
        </is>
      </c>
      <c r="B14" t="inlineStr">
        <is>
          <t>Concha</t>
        </is>
      </c>
      <c r="C14" t="inlineStr">
        <is>
          <t>Panadería</t>
        </is>
      </c>
      <c r="D14" s="3" t="n">
        <v>22</v>
      </c>
      <c r="E14" s="3" t="n">
        <v>6</v>
      </c>
    </row>
    <row r="15">
      <c r="A15" t="inlineStr">
        <is>
          <t>PAN-003</t>
        </is>
      </c>
      <c r="B15" t="inlineStr">
        <is>
          <t>Muffin de mora</t>
        </is>
      </c>
      <c r="C15" t="inlineStr">
        <is>
          <t>Panadería</t>
        </is>
      </c>
      <c r="D15" s="3" t="n">
        <v>35</v>
      </c>
      <c r="E15" s="3" t="n">
        <v>10</v>
      </c>
    </row>
    <row r="16">
      <c r="A16" t="inlineStr">
        <is>
          <t>PAN-004</t>
        </is>
      </c>
      <c r="B16" t="inlineStr">
        <is>
          <t>Bagel con queso crema</t>
        </is>
      </c>
      <c r="C16" t="inlineStr">
        <is>
          <t>Panadería</t>
        </is>
      </c>
      <c r="D16" s="3" t="n">
        <v>45</v>
      </c>
      <c r="E16" s="3" t="n">
        <v>15</v>
      </c>
    </row>
    <row r="17">
      <c r="A17" t="inlineStr">
        <is>
          <t>POS-001</t>
        </is>
      </c>
      <c r="B17" t="inlineStr">
        <is>
          <t>Pay de queso</t>
        </is>
      </c>
      <c r="C17" t="inlineStr">
        <is>
          <t>Postres</t>
        </is>
      </c>
      <c r="D17" s="3" t="n">
        <v>55</v>
      </c>
      <c r="E17" s="3" t="n">
        <v>17</v>
      </c>
    </row>
    <row r="18">
      <c r="A18" t="inlineStr">
        <is>
          <t>POS-002</t>
        </is>
      </c>
      <c r="B18" t="inlineStr">
        <is>
          <t>Brownie</t>
        </is>
      </c>
      <c r="C18" t="inlineStr">
        <is>
          <t>Postres</t>
        </is>
      </c>
      <c r="D18" s="3" t="n">
        <v>40</v>
      </c>
      <c r="E18" s="3" t="n">
        <v>11</v>
      </c>
    </row>
    <row r="19">
      <c r="A19" t="inlineStr">
        <is>
          <t>POS-003</t>
        </is>
      </c>
      <c r="B19" t="inlineStr">
        <is>
          <t>Galleta de avena</t>
        </is>
      </c>
      <c r="C19" t="inlineStr">
        <is>
          <t>Postres</t>
        </is>
      </c>
      <c r="D19" s="3" t="n">
        <v>25</v>
      </c>
      <c r="E19" s="3" t="n">
        <v>6</v>
      </c>
    </row>
    <row r="20">
      <c r="A20" t="inlineStr">
        <is>
          <t>ALI-001</t>
        </is>
      </c>
      <c r="B20" t="inlineStr">
        <is>
          <t>Sándwich de pavo</t>
        </is>
      </c>
      <c r="C20" t="inlineStr">
        <is>
          <t>Alimentos</t>
        </is>
      </c>
      <c r="D20" s="3" t="n">
        <v>78</v>
      </c>
      <c r="E20" s="3" t="n">
        <v>30</v>
      </c>
    </row>
    <row r="21">
      <c r="A21" t="inlineStr">
        <is>
          <t>ALI-002</t>
        </is>
      </c>
      <c r="B21" t="inlineStr">
        <is>
          <t>Panini caprese</t>
        </is>
      </c>
      <c r="C21" t="inlineStr">
        <is>
          <t>Alimentos</t>
        </is>
      </c>
      <c r="D21" s="3" t="n">
        <v>85</v>
      </c>
      <c r="E21" s="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2" t="inlineStr">
        <is>
          <t>Folio</t>
        </is>
      </c>
      <c r="B1" s="2" t="inlineStr">
        <is>
          <t>Fecha</t>
        </is>
      </c>
      <c r="C1" s="2" t="inlineStr">
        <is>
          <t>Sucursal</t>
        </is>
      </c>
      <c r="D1" s="2" t="inlineStr">
        <is>
          <t>Código</t>
        </is>
      </c>
      <c r="E1" s="2" t="inlineStr">
        <is>
          <t>Producto</t>
        </is>
      </c>
      <c r="F1" s="2" t="inlineStr">
        <is>
          <t>Categoría</t>
        </is>
      </c>
      <c r="G1" s="2" t="inlineStr">
        <is>
          <t>Cantidad</t>
        </is>
      </c>
      <c r="H1" s="2" t="inlineStr">
        <is>
          <t>Precio</t>
        </is>
      </c>
      <c r="I1" s="2" t="inlineStr">
        <is>
          <t>Total</t>
        </is>
      </c>
      <c r="J1" s="2" t="inlineStr">
        <is>
          <t>Vendedor</t>
        </is>
      </c>
      <c r="K1" s="2" t="inlineStr">
        <is>
          <t>Pago</t>
        </is>
      </c>
    </row>
    <row r="2">
      <c r="A2" t="inlineStr">
        <is>
          <t>V-0001</t>
        </is>
      </c>
      <c r="B2" s="4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3" t="n">
        <v>40</v>
      </c>
      <c r="I2" s="3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4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3" t="n">
        <v>38</v>
      </c>
      <c r="I3" s="3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4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3" t="n">
        <v>22</v>
      </c>
      <c r="I4" s="3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4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3" t="n">
        <v>78</v>
      </c>
      <c r="I5" s="3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4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3" t="n">
        <v>35</v>
      </c>
      <c r="I6" s="3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4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3" t="n">
        <v>45</v>
      </c>
      <c r="I7" s="3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4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3" t="n">
        <v>68</v>
      </c>
      <c r="I8" s="3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4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3" t="n">
        <v>52</v>
      </c>
      <c r="I9" s="3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4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3" t="n">
        <v>60</v>
      </c>
      <c r="I10" s="3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4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3" t="n">
        <v>40</v>
      </c>
      <c r="I11" s="3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4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3" t="n">
        <v>38</v>
      </c>
      <c r="I12" s="3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4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3" t="n">
        <v>25</v>
      </c>
      <c r="I13" s="3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4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3" t="n">
        <v>55</v>
      </c>
      <c r="I14" s="3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4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3" t="n">
        <v>22</v>
      </c>
      <c r="I15" s="3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4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3" t="n">
        <v>40</v>
      </c>
      <c r="I16" s="3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4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3" t="n">
        <v>38</v>
      </c>
      <c r="I17" s="3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4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3" t="n">
        <v>22</v>
      </c>
      <c r="I18" s="3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4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3" t="n">
        <v>38</v>
      </c>
      <c r="I19" s="3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4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3" t="n">
        <v>38</v>
      </c>
      <c r="I20" s="3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4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3" t="n">
        <v>60</v>
      </c>
      <c r="I21" s="3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4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3" t="n">
        <v>22</v>
      </c>
      <c r="I22" s="3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4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3" t="n">
        <v>85</v>
      </c>
      <c r="I23" s="3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4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3" t="n">
        <v>55</v>
      </c>
      <c r="I24" s="3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4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3" t="n">
        <v>35</v>
      </c>
      <c r="I25" s="3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4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3" t="n">
        <v>58</v>
      </c>
      <c r="I26" s="3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4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3" t="n">
        <v>40</v>
      </c>
      <c r="I27" s="3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4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3" t="n">
        <v>22</v>
      </c>
      <c r="I28" s="3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4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3" t="n">
        <v>38</v>
      </c>
      <c r="I29" s="3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4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3" t="n">
        <v>38</v>
      </c>
      <c r="I30" s="3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4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3" t="n">
        <v>58</v>
      </c>
      <c r="I31" s="3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4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3" t="n">
        <v>25</v>
      </c>
      <c r="I32" s="3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4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3" t="n">
        <v>25</v>
      </c>
      <c r="I33" s="3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4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3" t="n">
        <v>35</v>
      </c>
      <c r="I34" s="3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4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3" t="n">
        <v>25</v>
      </c>
      <c r="I35" s="3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4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3" t="n">
        <v>78</v>
      </c>
      <c r="I36" s="3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4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3" t="n">
        <v>40</v>
      </c>
      <c r="I37" s="3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4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3" t="n">
        <v>52</v>
      </c>
      <c r="I38" s="3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4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3" t="n">
        <v>52</v>
      </c>
      <c r="I39" s="3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4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3" t="n">
        <v>38</v>
      </c>
      <c r="I40" s="3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4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3" t="n">
        <v>25</v>
      </c>
      <c r="I41" s="3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4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3" t="n">
        <v>68</v>
      </c>
      <c r="I42" s="3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4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3" t="n">
        <v>35</v>
      </c>
      <c r="I43" s="3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4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3" t="n">
        <v>68</v>
      </c>
      <c r="I44" s="3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4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3" t="n">
        <v>35</v>
      </c>
      <c r="I45" s="3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4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3" t="n">
        <v>38</v>
      </c>
      <c r="I46" s="3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4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3" t="n">
        <v>25</v>
      </c>
      <c r="I47" s="3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4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3" t="n">
        <v>55</v>
      </c>
      <c r="I48" s="3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4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3" t="n">
        <v>25</v>
      </c>
      <c r="I49" s="3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4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3" t="n">
        <v>55</v>
      </c>
      <c r="I50" s="3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4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3" t="n">
        <v>78</v>
      </c>
      <c r="I51" s="3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4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3" t="n">
        <v>52</v>
      </c>
      <c r="I52" s="3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4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3" t="n">
        <v>22</v>
      </c>
      <c r="I53" s="3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4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3" t="n">
        <v>55</v>
      </c>
      <c r="I54" s="3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4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3" t="n">
        <v>38</v>
      </c>
      <c r="I55" s="3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4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3" t="n">
        <v>55</v>
      </c>
      <c r="I56" s="3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4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3" t="n">
        <v>55</v>
      </c>
      <c r="I57" s="3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4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3" t="n">
        <v>55</v>
      </c>
      <c r="I58" s="3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4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3" t="n">
        <v>52</v>
      </c>
      <c r="I59" s="3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4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3" t="n">
        <v>85</v>
      </c>
      <c r="I60" s="3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4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3" t="n">
        <v>52</v>
      </c>
      <c r="I61" s="3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4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3" t="n">
        <v>52</v>
      </c>
      <c r="I62" s="3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4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3" t="n">
        <v>25</v>
      </c>
      <c r="I63" s="3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4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3" t="n">
        <v>38</v>
      </c>
      <c r="I64" s="3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4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3" t="n">
        <v>58</v>
      </c>
      <c r="I65" s="3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4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3" t="n">
        <v>38</v>
      </c>
      <c r="I66" s="3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4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3" t="n">
        <v>40</v>
      </c>
      <c r="I67" s="3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4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3" t="n">
        <v>40</v>
      </c>
      <c r="I68" s="3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4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3" t="n">
        <v>25</v>
      </c>
      <c r="I69" s="3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4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3" t="n">
        <v>60</v>
      </c>
      <c r="I70" s="3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4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3" t="n">
        <v>38</v>
      </c>
      <c r="I71" s="3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4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3" t="n">
        <v>60</v>
      </c>
      <c r="I72" s="3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4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3" t="n">
        <v>38</v>
      </c>
      <c r="I73" s="3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4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3" t="n">
        <v>25</v>
      </c>
      <c r="I74" s="3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4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3" t="n">
        <v>38</v>
      </c>
      <c r="I75" s="3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4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3" t="n">
        <v>68</v>
      </c>
      <c r="I76" s="3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4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3" t="n">
        <v>45</v>
      </c>
      <c r="I77" s="3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4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3" t="n">
        <v>55</v>
      </c>
      <c r="I78" s="3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4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3" t="n">
        <v>58</v>
      </c>
      <c r="I79" s="3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4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3" t="n">
        <v>68</v>
      </c>
      <c r="I80" s="3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4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3" t="n">
        <v>52</v>
      </c>
      <c r="I81" s="3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4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3" t="n">
        <v>52</v>
      </c>
      <c r="I82" s="3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4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3" t="n">
        <v>25</v>
      </c>
      <c r="I83" s="3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4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3" t="n">
        <v>52</v>
      </c>
      <c r="I84" s="3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4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3" t="n">
        <v>55</v>
      </c>
      <c r="I85" s="3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4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3" t="n">
        <v>55</v>
      </c>
      <c r="I86" s="3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4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3" t="n">
        <v>35</v>
      </c>
      <c r="I87" s="3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4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3" t="n">
        <v>22</v>
      </c>
      <c r="I88" s="3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4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3" t="n">
        <v>22</v>
      </c>
      <c r="I89" s="3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4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3" t="n">
        <v>38</v>
      </c>
      <c r="I90" s="3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4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3" t="n">
        <v>54</v>
      </c>
      <c r="I91" s="3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4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3" t="n">
        <v>40</v>
      </c>
      <c r="I92" s="3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4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3" t="n">
        <v>22</v>
      </c>
      <c r="I93" s="3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4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3" t="n">
        <v>58</v>
      </c>
      <c r="I94" s="3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4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3" t="n">
        <v>40</v>
      </c>
      <c r="I95" s="3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4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3" t="n">
        <v>38</v>
      </c>
      <c r="I96" s="3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4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3" t="n">
        <v>58</v>
      </c>
      <c r="I97" s="3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4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3" t="n">
        <v>38</v>
      </c>
      <c r="I98" s="3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4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3" t="n">
        <v>35</v>
      </c>
      <c r="I99" s="3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4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3" t="n">
        <v>52</v>
      </c>
      <c r="I100" s="3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4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3" t="n">
        <v>55</v>
      </c>
      <c r="I101" s="3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4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3" t="n">
        <v>22</v>
      </c>
      <c r="I102" s="3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4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3" t="n">
        <v>22</v>
      </c>
      <c r="I103" s="3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4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3" t="n">
        <v>55</v>
      </c>
      <c r="I104" s="3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4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3" t="n">
        <v>58</v>
      </c>
      <c r="I105" s="3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4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3" t="n">
        <v>58</v>
      </c>
      <c r="I106" s="3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4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3" t="n">
        <v>58</v>
      </c>
      <c r="I107" s="3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4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3" t="n">
        <v>55</v>
      </c>
      <c r="I108" s="3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4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3" t="n">
        <v>78</v>
      </c>
      <c r="I109" s="3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4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3" t="n">
        <v>40</v>
      </c>
      <c r="I110" s="3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4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3" t="n">
        <v>52</v>
      </c>
      <c r="I111" s="3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4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3" t="n">
        <v>52</v>
      </c>
      <c r="I112" s="3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4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3" t="n">
        <v>35</v>
      </c>
      <c r="I113" s="3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4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3" t="n">
        <v>54</v>
      </c>
      <c r="I114" s="3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4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3" t="n">
        <v>54</v>
      </c>
      <c r="I115" s="3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4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3" t="n">
        <v>58</v>
      </c>
      <c r="I116" s="3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4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3" t="n">
        <v>60</v>
      </c>
      <c r="I117" s="3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4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3" t="n">
        <v>45</v>
      </c>
      <c r="I118" s="3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4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3" t="n">
        <v>40</v>
      </c>
      <c r="I119" s="3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4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3" t="n">
        <v>55</v>
      </c>
      <c r="I120" s="3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4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3" t="n">
        <v>45</v>
      </c>
      <c r="I121" s="3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4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3" t="n">
        <v>22</v>
      </c>
      <c r="I122" s="3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4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3" t="n">
        <v>55</v>
      </c>
      <c r="I123" s="3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4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3" t="n">
        <v>22</v>
      </c>
      <c r="I124" s="3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4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3" t="n">
        <v>35</v>
      </c>
      <c r="I125" s="3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4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3" t="n">
        <v>38</v>
      </c>
      <c r="I126" s="3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4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3" t="n">
        <v>40</v>
      </c>
      <c r="I127" s="3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4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3" t="n">
        <v>38</v>
      </c>
      <c r="I128" s="3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4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3" t="n">
        <v>54</v>
      </c>
      <c r="I129" s="3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4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3" t="n">
        <v>52</v>
      </c>
      <c r="I130" s="3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4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3" t="n">
        <v>55</v>
      </c>
      <c r="I131" s="3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4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3" t="n">
        <v>40</v>
      </c>
      <c r="I132" s="3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4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3" t="n">
        <v>25</v>
      </c>
      <c r="I133" s="3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4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3" t="n">
        <v>38</v>
      </c>
      <c r="I134" s="3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4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3" t="n">
        <v>58</v>
      </c>
      <c r="I135" s="3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4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3" t="n">
        <v>25</v>
      </c>
      <c r="I136" s="3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4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3" t="n">
        <v>78</v>
      </c>
      <c r="I137" s="3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4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3" t="n">
        <v>58</v>
      </c>
      <c r="I138" s="3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4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3" t="n">
        <v>38</v>
      </c>
      <c r="I139" s="3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4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3" t="n">
        <v>45</v>
      </c>
      <c r="I140" s="3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4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3" t="n">
        <v>58</v>
      </c>
      <c r="I141" s="3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4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3" t="n">
        <v>38</v>
      </c>
      <c r="I142" s="3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4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3" t="n">
        <v>40</v>
      </c>
      <c r="I143" s="3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4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3" t="n">
        <v>52</v>
      </c>
      <c r="I144" s="3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4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3" t="n">
        <v>38</v>
      </c>
      <c r="I145" s="3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4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3" t="n">
        <v>58</v>
      </c>
      <c r="I146" s="3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4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3" t="n">
        <v>60</v>
      </c>
      <c r="I147" s="3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4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3" t="n">
        <v>40</v>
      </c>
      <c r="I148" s="3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4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3" t="n">
        <v>52</v>
      </c>
      <c r="I149" s="3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4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3" t="n">
        <v>52</v>
      </c>
      <c r="I150" s="3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4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3" t="n">
        <v>22</v>
      </c>
      <c r="I151" s="3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4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3" t="n">
        <v>54</v>
      </c>
      <c r="I152" s="3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4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3" t="n">
        <v>52</v>
      </c>
      <c r="I153" s="3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4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3" t="n">
        <v>45</v>
      </c>
      <c r="I154" s="3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4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3" t="n">
        <v>40</v>
      </c>
      <c r="I155" s="3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4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3" t="n">
        <v>58</v>
      </c>
      <c r="I156" s="3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4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3" t="n">
        <v>58</v>
      </c>
      <c r="I157" s="3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4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3" t="n">
        <v>52</v>
      </c>
      <c r="I158" s="3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4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3" t="n">
        <v>40</v>
      </c>
      <c r="I159" s="3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4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3" t="n">
        <v>55</v>
      </c>
      <c r="I160" s="3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4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3" t="n">
        <v>68</v>
      </c>
      <c r="I161" s="3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4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3" t="n">
        <v>40</v>
      </c>
      <c r="I162" s="3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4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3" t="n">
        <v>35</v>
      </c>
      <c r="I163" s="3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4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3" t="n">
        <v>58</v>
      </c>
      <c r="I164" s="3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4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3" t="n">
        <v>38</v>
      </c>
      <c r="I165" s="3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4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3" t="n">
        <v>22</v>
      </c>
      <c r="I166" s="3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4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3" t="n">
        <v>22</v>
      </c>
      <c r="I167" s="3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4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3" t="n">
        <v>55</v>
      </c>
      <c r="I168" s="3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4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3" t="n">
        <v>55</v>
      </c>
      <c r="I169" s="3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4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3" t="n">
        <v>25</v>
      </c>
      <c r="I170" s="3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4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3" t="n">
        <v>52</v>
      </c>
      <c r="I171" s="3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4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3" t="n">
        <v>55</v>
      </c>
      <c r="I172" s="3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4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3" t="n">
        <v>58</v>
      </c>
      <c r="I173" s="3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4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3" t="n">
        <v>58</v>
      </c>
      <c r="I174" s="3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4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3" t="n">
        <v>54</v>
      </c>
      <c r="I175" s="3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4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3" t="n">
        <v>55</v>
      </c>
      <c r="I176" s="3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4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3" t="n">
        <v>60</v>
      </c>
      <c r="I177" s="3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4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3" t="n">
        <v>40</v>
      </c>
      <c r="I178" s="3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4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3" t="n">
        <v>38</v>
      </c>
      <c r="I179" s="3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4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3" t="n">
        <v>40</v>
      </c>
      <c r="I180" s="3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4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3" t="n">
        <v>55</v>
      </c>
      <c r="I181" s="3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4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3" t="n">
        <v>40</v>
      </c>
      <c r="I182" s="3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4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3" t="n">
        <v>60</v>
      </c>
      <c r="I183" s="3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4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3" t="n">
        <v>58</v>
      </c>
      <c r="I184" s="3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4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3" t="n">
        <v>25</v>
      </c>
      <c r="I185" s="3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4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3" t="n">
        <v>22</v>
      </c>
      <c r="I186" s="3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4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3" t="n">
        <v>78</v>
      </c>
      <c r="I187" s="3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4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3" t="n">
        <v>54</v>
      </c>
      <c r="I188" s="3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4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3" t="n">
        <v>58</v>
      </c>
      <c r="I189" s="3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4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3" t="n">
        <v>25</v>
      </c>
      <c r="I190" s="3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4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3" t="n">
        <v>38</v>
      </c>
      <c r="I191" s="3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4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3" t="n">
        <v>38</v>
      </c>
      <c r="I192" s="3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4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3" t="n">
        <v>40</v>
      </c>
      <c r="I193" s="3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4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3" t="n">
        <v>55</v>
      </c>
      <c r="I194" s="3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4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3" t="n">
        <v>58</v>
      </c>
      <c r="I195" s="3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4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3" t="n">
        <v>58</v>
      </c>
      <c r="I196" s="3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4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3" t="n">
        <v>25</v>
      </c>
      <c r="I197" s="3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4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3" t="n">
        <v>60</v>
      </c>
      <c r="I198" s="3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4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3" t="n">
        <v>35</v>
      </c>
      <c r="I199" s="3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4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3" t="n">
        <v>38</v>
      </c>
      <c r="I200" s="3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4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3" t="n">
        <v>22</v>
      </c>
      <c r="I201" s="3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4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3" t="n">
        <v>38</v>
      </c>
      <c r="I202" s="3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4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3" t="n">
        <v>38</v>
      </c>
      <c r="I203" s="3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4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3" t="n">
        <v>45</v>
      </c>
      <c r="I204" s="3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4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3" t="n">
        <v>45</v>
      </c>
      <c r="I205" s="3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4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3" t="n">
        <v>85</v>
      </c>
      <c r="I206" s="3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4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3" t="n">
        <v>55</v>
      </c>
      <c r="I207" s="3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4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3" t="n">
        <v>58</v>
      </c>
      <c r="I208" s="3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4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3" t="n">
        <v>38</v>
      </c>
      <c r="I209" s="3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4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3" t="n">
        <v>58</v>
      </c>
      <c r="I210" s="3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4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3" t="n">
        <v>40</v>
      </c>
      <c r="I211" s="3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4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3" t="n">
        <v>52</v>
      </c>
      <c r="I212" s="3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4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3" t="n">
        <v>35</v>
      </c>
      <c r="I213" s="3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4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3" t="n">
        <v>40</v>
      </c>
      <c r="I214" s="3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4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3" t="n">
        <v>55</v>
      </c>
      <c r="I215" s="3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4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3" t="n">
        <v>35</v>
      </c>
      <c r="I216" s="3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4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3" t="n">
        <v>68</v>
      </c>
      <c r="I217" s="3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4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3" t="n">
        <v>25</v>
      </c>
      <c r="I218" s="3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4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3" t="n">
        <v>52</v>
      </c>
      <c r="I219" s="3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4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3" t="n">
        <v>22</v>
      </c>
      <c r="I220" s="3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4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3" t="n">
        <v>40</v>
      </c>
      <c r="I221" s="3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4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3" t="n">
        <v>38</v>
      </c>
      <c r="I222" s="3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4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3" t="n">
        <v>78</v>
      </c>
      <c r="I223" s="3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4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3" t="n">
        <v>52</v>
      </c>
      <c r="I224" s="3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4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3" t="n">
        <v>40</v>
      </c>
      <c r="I225" s="3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4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3" t="n">
        <v>60</v>
      </c>
      <c r="I226" s="3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4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3" t="n">
        <v>38</v>
      </c>
      <c r="I227" s="3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4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3" t="n">
        <v>35</v>
      </c>
      <c r="I228" s="3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4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3" t="n">
        <v>38</v>
      </c>
      <c r="I229" s="3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4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3" t="n">
        <v>60</v>
      </c>
      <c r="I230" s="3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4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3" t="n">
        <v>40</v>
      </c>
      <c r="I231" s="3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4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3" t="n">
        <v>45</v>
      </c>
      <c r="I232" s="3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4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3" t="n">
        <v>60</v>
      </c>
      <c r="I233" s="3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4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3" t="n">
        <v>38</v>
      </c>
      <c r="I234" s="3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4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3" t="n">
        <v>22</v>
      </c>
      <c r="I235" s="3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4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3" t="n">
        <v>55</v>
      </c>
      <c r="I236" s="3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4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3" t="n">
        <v>52</v>
      </c>
      <c r="I237" s="3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4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3" t="n">
        <v>58</v>
      </c>
      <c r="I238" s="3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4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3" t="n">
        <v>68</v>
      </c>
      <c r="I239" s="3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4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3" t="n">
        <v>55</v>
      </c>
      <c r="I240" s="3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4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3" t="n">
        <v>52</v>
      </c>
      <c r="I241" s="3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4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3" t="n">
        <v>60</v>
      </c>
      <c r="I242" s="3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4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3" t="n">
        <v>85</v>
      </c>
      <c r="I243" s="3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4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3" t="n">
        <v>55</v>
      </c>
      <c r="I244" s="3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4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3" t="n">
        <v>35</v>
      </c>
      <c r="I245" s="3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4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3" t="n">
        <v>25</v>
      </c>
      <c r="I246" s="3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4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3" t="n">
        <v>35</v>
      </c>
      <c r="I247" s="3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4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3" t="n">
        <v>55</v>
      </c>
      <c r="I248" s="3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4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3" t="n">
        <v>54</v>
      </c>
      <c r="I249" s="3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4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3" t="n">
        <v>54</v>
      </c>
      <c r="I250" s="3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4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3" t="n">
        <v>22</v>
      </c>
      <c r="I251" s="3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4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3" t="n">
        <v>68</v>
      </c>
      <c r="I252" s="3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4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3" t="n">
        <v>68</v>
      </c>
      <c r="I253" s="3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4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3" t="n">
        <v>35</v>
      </c>
      <c r="I254" s="3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4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3" t="n">
        <v>54</v>
      </c>
      <c r="I255" s="3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4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3" t="n">
        <v>35</v>
      </c>
      <c r="I256" s="3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4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3" t="n">
        <v>55</v>
      </c>
      <c r="I257" s="3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4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3" t="n">
        <v>68</v>
      </c>
      <c r="I258" s="3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4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3" t="n">
        <v>55</v>
      </c>
      <c r="I259" s="3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4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3" t="n">
        <v>38</v>
      </c>
      <c r="I260" s="3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4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3" t="n">
        <v>22</v>
      </c>
      <c r="I261" s="3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4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3" t="n">
        <v>55</v>
      </c>
      <c r="I262" s="3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4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3" t="n">
        <v>40</v>
      </c>
      <c r="I263" s="3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4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3" t="n">
        <v>22</v>
      </c>
      <c r="I264" s="3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4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3" t="n">
        <v>40</v>
      </c>
      <c r="I265" s="3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4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3" t="n">
        <v>85</v>
      </c>
      <c r="I266" s="3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4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3" t="n">
        <v>68</v>
      </c>
      <c r="I267" s="3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4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3" t="n">
        <v>22</v>
      </c>
      <c r="I268" s="3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4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3" t="n">
        <v>52</v>
      </c>
      <c r="I269" s="3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4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3" t="n">
        <v>22</v>
      </c>
      <c r="I270" s="3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4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3" t="n">
        <v>52</v>
      </c>
      <c r="I271" s="3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4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3" t="n">
        <v>38</v>
      </c>
      <c r="I272" s="3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4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3" t="n">
        <v>58</v>
      </c>
      <c r="I273" s="3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4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3" t="n">
        <v>35</v>
      </c>
      <c r="I274" s="3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4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3" t="n">
        <v>68</v>
      </c>
      <c r="I275" s="3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4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3" t="n">
        <v>58</v>
      </c>
      <c r="I276" s="3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4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3" t="n">
        <v>68</v>
      </c>
      <c r="I277" s="3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4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3" t="n">
        <v>58</v>
      </c>
      <c r="I278" s="3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4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3" t="n">
        <v>38</v>
      </c>
      <c r="I279" s="3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4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3" t="n">
        <v>68</v>
      </c>
      <c r="I280" s="3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4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3" t="n">
        <v>55</v>
      </c>
      <c r="I281" s="3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4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3" t="n">
        <v>58</v>
      </c>
      <c r="I282" s="3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4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3" t="n">
        <v>55</v>
      </c>
      <c r="I283" s="3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4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3" t="n">
        <v>85</v>
      </c>
      <c r="I284" s="3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4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3" t="n">
        <v>55</v>
      </c>
      <c r="I285" s="3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4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3" t="n">
        <v>25</v>
      </c>
      <c r="I286" s="3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4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3" t="n">
        <v>52</v>
      </c>
      <c r="I287" s="3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4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3" t="n">
        <v>38</v>
      </c>
      <c r="I288" s="3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4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3" t="n">
        <v>52</v>
      </c>
      <c r="I289" s="3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4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3" t="n">
        <v>38</v>
      </c>
      <c r="I290" s="3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4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3" t="n">
        <v>52</v>
      </c>
      <c r="I291" s="3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4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3" t="n">
        <v>68</v>
      </c>
      <c r="I292" s="3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4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3" t="n">
        <v>58</v>
      </c>
      <c r="I293" s="3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4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3" t="n">
        <v>35</v>
      </c>
      <c r="I294" s="3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4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3" t="n">
        <v>38</v>
      </c>
      <c r="I295" s="3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4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3" t="n">
        <v>35</v>
      </c>
      <c r="I296" s="3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4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3" t="n">
        <v>55</v>
      </c>
      <c r="I297" s="3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4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3" t="n">
        <v>55</v>
      </c>
      <c r="I298" s="3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4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3" t="n">
        <v>38</v>
      </c>
      <c r="I299" s="3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4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3" t="n">
        <v>55</v>
      </c>
      <c r="I300" s="3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4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3" t="n">
        <v>38</v>
      </c>
      <c r="I301" s="3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4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3" t="n">
        <v>58</v>
      </c>
      <c r="I302" s="3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4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3" t="n">
        <v>38</v>
      </c>
      <c r="I303" s="3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4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3" t="n">
        <v>52</v>
      </c>
      <c r="I304" s="3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4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3" t="n">
        <v>22</v>
      </c>
      <c r="I305" s="3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4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3" t="n">
        <v>38</v>
      </c>
      <c r="I306" s="3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4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3" t="n">
        <v>55</v>
      </c>
      <c r="I307" s="3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4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3" t="n">
        <v>68</v>
      </c>
      <c r="I308" s="3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4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3" t="n">
        <v>38</v>
      </c>
      <c r="I309" s="3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4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3" t="n">
        <v>68</v>
      </c>
      <c r="I310" s="3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4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3" t="n">
        <v>38</v>
      </c>
      <c r="I311" s="3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4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3" t="n">
        <v>45</v>
      </c>
      <c r="I312" s="3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4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3" t="n">
        <v>40</v>
      </c>
      <c r="I313" s="3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4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3" t="n">
        <v>55</v>
      </c>
      <c r="I314" s="3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4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3" t="n">
        <v>38</v>
      </c>
      <c r="I315" s="3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4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3" t="n">
        <v>38</v>
      </c>
      <c r="I316" s="3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4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3" t="n">
        <v>38</v>
      </c>
      <c r="I317" s="3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4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3" t="n">
        <v>60</v>
      </c>
      <c r="I318" s="3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4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3" t="n">
        <v>68</v>
      </c>
      <c r="I319" s="3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4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3" t="n">
        <v>55</v>
      </c>
      <c r="I320" s="3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4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3" t="n">
        <v>78</v>
      </c>
      <c r="I321" s="3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4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3" t="n">
        <v>68</v>
      </c>
      <c r="I322" s="3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4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3" t="n">
        <v>40</v>
      </c>
      <c r="I323" s="3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4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3" t="n">
        <v>38</v>
      </c>
      <c r="I324" s="3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4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3" t="n">
        <v>55</v>
      </c>
      <c r="I325" s="3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4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3" t="n">
        <v>38</v>
      </c>
      <c r="I326" s="3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4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3" t="n">
        <v>40</v>
      </c>
      <c r="I327" s="3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4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3" t="n">
        <v>52</v>
      </c>
      <c r="I328" s="3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4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3" t="n">
        <v>68</v>
      </c>
      <c r="I329" s="3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4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3" t="n">
        <v>85</v>
      </c>
      <c r="I330" s="3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4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3" t="n">
        <v>38</v>
      </c>
      <c r="I331" s="3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4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3" t="n">
        <v>40</v>
      </c>
      <c r="I332" s="3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4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3" t="n">
        <v>54</v>
      </c>
      <c r="I333" s="3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4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3" t="n">
        <v>78</v>
      </c>
      <c r="I334" s="3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4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3" t="n">
        <v>68</v>
      </c>
      <c r="I335" s="3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4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3" t="n">
        <v>22</v>
      </c>
      <c r="I336" s="3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4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3" t="n">
        <v>25</v>
      </c>
      <c r="I337" s="3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4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3" t="n">
        <v>35</v>
      </c>
      <c r="I338" s="3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4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3" t="n">
        <v>54</v>
      </c>
      <c r="I339" s="3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4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3" t="n">
        <v>38</v>
      </c>
      <c r="I340" s="3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4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3" t="n">
        <v>52</v>
      </c>
      <c r="I341" s="3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4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3" t="n">
        <v>22</v>
      </c>
      <c r="I342" s="3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4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3" t="n">
        <v>58</v>
      </c>
      <c r="I343" s="3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4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3" t="n">
        <v>35</v>
      </c>
      <c r="I344" s="3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4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3" t="n">
        <v>78</v>
      </c>
      <c r="I345" s="3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4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3" t="n">
        <v>55</v>
      </c>
      <c r="I346" s="3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4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3" t="n">
        <v>38</v>
      </c>
      <c r="I347" s="3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4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3" t="n">
        <v>68</v>
      </c>
      <c r="I348" s="3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4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3" t="n">
        <v>55</v>
      </c>
      <c r="I349" s="3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4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3" t="n">
        <v>54</v>
      </c>
      <c r="I350" s="3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4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3" t="n">
        <v>58</v>
      </c>
      <c r="I351" s="3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4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3" t="n">
        <v>38</v>
      </c>
      <c r="I352" s="3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4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3" t="n">
        <v>52</v>
      </c>
      <c r="I353" s="3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4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3" t="n">
        <v>38</v>
      </c>
      <c r="I354" s="3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4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3" t="n">
        <v>38</v>
      </c>
      <c r="I355" s="3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4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3" t="n">
        <v>78</v>
      </c>
      <c r="I356" s="3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4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3" t="n">
        <v>58</v>
      </c>
      <c r="I357" s="3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4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3" t="n">
        <v>55</v>
      </c>
      <c r="I358" s="3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4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3" t="n">
        <v>38</v>
      </c>
      <c r="I359" s="3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4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3" t="n">
        <v>35</v>
      </c>
      <c r="I360" s="3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4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3" t="n">
        <v>60</v>
      </c>
      <c r="I361" s="3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4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3" t="n">
        <v>22</v>
      </c>
      <c r="I362" s="3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4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3" t="n">
        <v>58</v>
      </c>
      <c r="I363" s="3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4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3" t="n">
        <v>55</v>
      </c>
      <c r="I364" s="3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4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3" t="n">
        <v>85</v>
      </c>
      <c r="I365" s="3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4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3" t="n">
        <v>68</v>
      </c>
      <c r="I366" s="3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4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3" t="n">
        <v>35</v>
      </c>
      <c r="I367" s="3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4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3" t="n">
        <v>55</v>
      </c>
      <c r="I368" s="3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4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3" t="n">
        <v>85</v>
      </c>
      <c r="I369" s="3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4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3" t="n">
        <v>22</v>
      </c>
      <c r="I370" s="3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4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3" t="n">
        <v>25</v>
      </c>
      <c r="I371" s="3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4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3" t="n">
        <v>85</v>
      </c>
      <c r="I372" s="3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4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3" t="n">
        <v>40</v>
      </c>
      <c r="I373" s="3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4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3" t="n">
        <v>78</v>
      </c>
      <c r="I374" s="3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4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3" t="n">
        <v>78</v>
      </c>
      <c r="I375" s="3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4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3" t="n">
        <v>52</v>
      </c>
      <c r="I376" s="3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4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3" t="n">
        <v>40</v>
      </c>
      <c r="I377" s="3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4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3" t="n">
        <v>55</v>
      </c>
      <c r="I378" s="3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4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3" t="n">
        <v>58</v>
      </c>
      <c r="I379" s="3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4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3" t="n">
        <v>38</v>
      </c>
      <c r="I380" s="3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4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3" t="n">
        <v>22</v>
      </c>
      <c r="I381" s="3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4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3" t="n">
        <v>35</v>
      </c>
      <c r="I382" s="3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4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3" t="n">
        <v>40</v>
      </c>
      <c r="I383" s="3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4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3" t="n">
        <v>55</v>
      </c>
      <c r="I384" s="3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4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3" t="n">
        <v>60</v>
      </c>
      <c r="I385" s="3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4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3" t="n">
        <v>78</v>
      </c>
      <c r="I386" s="3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4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3" t="n">
        <v>58</v>
      </c>
      <c r="I387" s="3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4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3" t="n">
        <v>68</v>
      </c>
      <c r="I388" s="3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4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3" t="n">
        <v>22</v>
      </c>
      <c r="I389" s="3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4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3" t="n">
        <v>40</v>
      </c>
      <c r="I390" s="3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4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3" t="n">
        <v>58</v>
      </c>
      <c r="I391" s="3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4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3" t="n">
        <v>45</v>
      </c>
      <c r="I392" s="3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4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3" t="n">
        <v>35</v>
      </c>
      <c r="I393" s="3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4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3" t="n">
        <v>78</v>
      </c>
      <c r="I394" s="3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4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3" t="n">
        <v>55</v>
      </c>
      <c r="I395" s="3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4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3" t="n">
        <v>78</v>
      </c>
      <c r="I396" s="3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4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3" t="n">
        <v>35</v>
      </c>
      <c r="I397" s="3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4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3" t="n">
        <v>68</v>
      </c>
      <c r="I398" s="3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4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3" t="n">
        <v>38</v>
      </c>
      <c r="I399" s="3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4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3" t="n">
        <v>58</v>
      </c>
      <c r="I400" s="3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4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3" t="n">
        <v>45</v>
      </c>
      <c r="I401" s="3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4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3" t="n">
        <v>40</v>
      </c>
      <c r="I402" s="3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4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3" t="n">
        <v>54</v>
      </c>
      <c r="I403" s="3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4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3" t="n">
        <v>40</v>
      </c>
      <c r="I404" s="3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4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3" t="n">
        <v>38</v>
      </c>
      <c r="I405" s="3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4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3" t="n">
        <v>35</v>
      </c>
      <c r="I406" s="3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4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3" t="n">
        <v>55</v>
      </c>
      <c r="I407" s="3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4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3" t="n">
        <v>25</v>
      </c>
      <c r="I408" s="3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4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3" t="n">
        <v>38</v>
      </c>
      <c r="I409" s="3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4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3" t="n">
        <v>38</v>
      </c>
      <c r="I410" s="3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4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3" t="n">
        <v>52</v>
      </c>
      <c r="I411" s="3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4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3" t="n">
        <v>22</v>
      </c>
      <c r="I412" s="3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4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3" t="n">
        <v>52</v>
      </c>
      <c r="I413" s="3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4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3" t="n">
        <v>68</v>
      </c>
      <c r="I414" s="3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4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3" t="n">
        <v>58</v>
      </c>
      <c r="I415" s="3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4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3" t="n">
        <v>35</v>
      </c>
      <c r="I416" s="3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4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3" t="n">
        <v>38</v>
      </c>
      <c r="I417" s="3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4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3" t="n">
        <v>40</v>
      </c>
      <c r="I418" s="3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4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3" t="n">
        <v>22</v>
      </c>
      <c r="I419" s="3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4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3" t="n">
        <v>40</v>
      </c>
      <c r="I420" s="3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4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3" t="n">
        <v>38</v>
      </c>
      <c r="I421" s="3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4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3" t="n">
        <v>60</v>
      </c>
      <c r="I422" s="3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4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3" t="n">
        <v>78</v>
      </c>
      <c r="I423" s="3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4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3" t="n">
        <v>58</v>
      </c>
      <c r="I424" s="3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4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3" t="n">
        <v>85</v>
      </c>
      <c r="I425" s="3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4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3" t="n">
        <v>38</v>
      </c>
      <c r="I426" s="3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4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3" t="n">
        <v>25</v>
      </c>
      <c r="I427" s="3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4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3" t="n">
        <v>40</v>
      </c>
      <c r="I428" s="3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4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3" t="n">
        <v>45</v>
      </c>
      <c r="I429" s="3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4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3" t="n">
        <v>40</v>
      </c>
      <c r="I430" s="3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4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3" t="n">
        <v>25</v>
      </c>
      <c r="I431" s="3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4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3" t="n">
        <v>40</v>
      </c>
      <c r="I432" s="3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4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3" t="n">
        <v>55</v>
      </c>
      <c r="I433" s="3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4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3" t="n">
        <v>25</v>
      </c>
      <c r="I434" s="3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4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3" t="n">
        <v>52</v>
      </c>
      <c r="I435" s="3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4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3" t="n">
        <v>55</v>
      </c>
      <c r="I436" s="3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4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3" t="n">
        <v>40</v>
      </c>
      <c r="I437" s="3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4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3" t="n">
        <v>40</v>
      </c>
      <c r="I438" s="3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4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3" t="n">
        <v>60</v>
      </c>
      <c r="I439" s="3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4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3" t="n">
        <v>38</v>
      </c>
      <c r="I440" s="3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4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3" t="n">
        <v>52</v>
      </c>
      <c r="I441" s="3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4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3" t="n">
        <v>60</v>
      </c>
      <c r="I442" s="3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4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3" t="n">
        <v>40</v>
      </c>
      <c r="I443" s="3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4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3" t="n">
        <v>38</v>
      </c>
      <c r="I444" s="3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4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3" t="n">
        <v>38</v>
      </c>
      <c r="I445" s="3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4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3" t="n">
        <v>55</v>
      </c>
      <c r="I446" s="3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4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3" t="n">
        <v>25</v>
      </c>
      <c r="I447" s="3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4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3" t="n">
        <v>40</v>
      </c>
      <c r="I448" s="3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4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3" t="n">
        <v>52</v>
      </c>
      <c r="I449" s="3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4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3" t="n">
        <v>22</v>
      </c>
      <c r="I450" s="3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4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3" t="n">
        <v>35</v>
      </c>
      <c r="I451" s="3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4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3" t="n">
        <v>60</v>
      </c>
      <c r="I452" s="3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4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3" t="n">
        <v>38</v>
      </c>
      <c r="I453" s="3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4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3" t="n">
        <v>78</v>
      </c>
      <c r="I454" s="3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4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3" t="n">
        <v>38</v>
      </c>
      <c r="I455" s="3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4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3" t="n">
        <v>35</v>
      </c>
      <c r="I456" s="3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4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3" t="n">
        <v>68</v>
      </c>
      <c r="I457" s="3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4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3" t="n">
        <v>68</v>
      </c>
      <c r="I458" s="3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4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3" t="n">
        <v>60</v>
      </c>
      <c r="I459" s="3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4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3" t="n">
        <v>78</v>
      </c>
      <c r="I460" s="3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4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3" t="n">
        <v>54</v>
      </c>
      <c r="I461" s="3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4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3" t="n">
        <v>55</v>
      </c>
      <c r="I462" s="3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4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3" t="n">
        <v>60</v>
      </c>
      <c r="I463" s="3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4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3" t="n">
        <v>68</v>
      </c>
      <c r="I464" s="3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4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3" t="n">
        <v>38</v>
      </c>
      <c r="I465" s="3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4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3" t="n">
        <v>58</v>
      </c>
      <c r="I466" s="3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4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3" t="n">
        <v>22</v>
      </c>
      <c r="I467" s="3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4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3" t="n">
        <v>25</v>
      </c>
      <c r="I468" s="3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4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3" t="n">
        <v>78</v>
      </c>
      <c r="I469" s="3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4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3" t="n">
        <v>55</v>
      </c>
      <c r="I470" s="3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4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3" t="n">
        <v>25</v>
      </c>
      <c r="I471" s="3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4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3" t="n">
        <v>40</v>
      </c>
      <c r="I472" s="3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4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3" t="n">
        <v>35</v>
      </c>
      <c r="I473" s="3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4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3" t="n">
        <v>22</v>
      </c>
      <c r="I474" s="3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4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3" t="n">
        <v>78</v>
      </c>
      <c r="I475" s="3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4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3" t="n">
        <v>45</v>
      </c>
      <c r="I476" s="3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4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3" t="n">
        <v>35</v>
      </c>
      <c r="I477" s="3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4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3" t="n">
        <v>58</v>
      </c>
      <c r="I478" s="3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4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3" t="n">
        <v>52</v>
      </c>
      <c r="I479" s="3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4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3" t="n">
        <v>58</v>
      </c>
      <c r="I480" s="3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4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3" t="n">
        <v>68</v>
      </c>
      <c r="I481" s="3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4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3" t="n">
        <v>35</v>
      </c>
      <c r="I482" s="3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4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3" t="n">
        <v>40</v>
      </c>
      <c r="I483" s="3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4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3" t="n">
        <v>55</v>
      </c>
      <c r="I484" s="3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4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3" t="n">
        <v>58</v>
      </c>
      <c r="I485" s="3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4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3" t="n">
        <v>38</v>
      </c>
      <c r="I486" s="3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4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3" t="n">
        <v>40</v>
      </c>
      <c r="I487" s="3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4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3" t="n">
        <v>45</v>
      </c>
      <c r="I488" s="3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4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3" t="n">
        <v>40</v>
      </c>
      <c r="I489" s="3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4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3" t="n">
        <v>25</v>
      </c>
      <c r="I490" s="3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4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3" t="n">
        <v>55</v>
      </c>
      <c r="I491" s="3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4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3" t="n">
        <v>25</v>
      </c>
      <c r="I492" s="3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4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3" t="n">
        <v>38</v>
      </c>
      <c r="I493" s="3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4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3" t="n">
        <v>22</v>
      </c>
      <c r="I494" s="3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4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3" t="n">
        <v>78</v>
      </c>
      <c r="I495" s="3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4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3" t="n">
        <v>52</v>
      </c>
      <c r="I496" s="3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4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3" t="n">
        <v>58</v>
      </c>
      <c r="I497" s="3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4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3" t="n">
        <v>55</v>
      </c>
      <c r="I498" s="3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4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3" t="n">
        <v>60</v>
      </c>
      <c r="I499" s="3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4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3" t="n">
        <v>25</v>
      </c>
      <c r="I500" s="3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4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3" t="n">
        <v>58</v>
      </c>
      <c r="I501" s="3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4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3" t="n">
        <v>54</v>
      </c>
      <c r="I502" s="3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4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3" t="n">
        <v>55</v>
      </c>
      <c r="I503" s="3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4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3" t="n">
        <v>78</v>
      </c>
      <c r="I504" s="3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4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3" t="n">
        <v>52</v>
      </c>
      <c r="I505" s="3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4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3" t="n">
        <v>55</v>
      </c>
      <c r="I506" s="3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4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3" t="n">
        <v>45</v>
      </c>
      <c r="I507" s="3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4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3" t="n">
        <v>45</v>
      </c>
      <c r="I508" s="3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4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3" t="n">
        <v>35</v>
      </c>
      <c r="I509" s="3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4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3" t="n">
        <v>52</v>
      </c>
      <c r="I510" s="3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4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3" t="n">
        <v>52</v>
      </c>
      <c r="I511" s="3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4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3" t="n">
        <v>40</v>
      </c>
      <c r="I512" s="3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4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3" t="n">
        <v>68</v>
      </c>
      <c r="I513" s="3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4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3" t="n">
        <v>40</v>
      </c>
      <c r="I514" s="3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4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3" t="n">
        <v>22</v>
      </c>
      <c r="I515" s="3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4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3" t="n">
        <v>38</v>
      </c>
      <c r="I516" s="3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4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3" t="n">
        <v>78</v>
      </c>
      <c r="I517" s="3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4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3" t="n">
        <v>45</v>
      </c>
      <c r="I518" s="3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4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3" t="n">
        <v>58</v>
      </c>
      <c r="I519" s="3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4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3" t="n">
        <v>38</v>
      </c>
      <c r="I520" s="3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4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3" t="n">
        <v>22</v>
      </c>
      <c r="I521" s="3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4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3" t="n">
        <v>40</v>
      </c>
      <c r="I522" s="3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4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3" t="n">
        <v>40</v>
      </c>
      <c r="I523" s="3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4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3" t="n">
        <v>52</v>
      </c>
      <c r="I524" s="3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4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3" t="n">
        <v>54</v>
      </c>
      <c r="I525" s="3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4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3" t="n">
        <v>38</v>
      </c>
      <c r="I526" s="3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4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3" t="n">
        <v>22</v>
      </c>
      <c r="I527" s="3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4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3" t="n">
        <v>68</v>
      </c>
      <c r="I528" s="3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4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3" t="n">
        <v>38</v>
      </c>
      <c r="I529" s="3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4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3" t="n">
        <v>45</v>
      </c>
      <c r="I530" s="3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4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3" t="n">
        <v>25</v>
      </c>
      <c r="I531" s="3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4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3" t="n">
        <v>55</v>
      </c>
      <c r="I532" s="3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4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3" t="n">
        <v>55</v>
      </c>
      <c r="I533" s="3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4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3" t="n">
        <v>58</v>
      </c>
      <c r="I534" s="3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4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3" t="n">
        <v>40</v>
      </c>
      <c r="I535" s="3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4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3" t="n">
        <v>22</v>
      </c>
      <c r="I536" s="3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4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3" t="n">
        <v>55</v>
      </c>
      <c r="I537" s="3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4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3" t="n">
        <v>22</v>
      </c>
      <c r="I538" s="3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4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3" t="n">
        <v>78</v>
      </c>
      <c r="I539" s="3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4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3" t="n">
        <v>55</v>
      </c>
      <c r="I540" s="3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4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3" t="n">
        <v>52</v>
      </c>
      <c r="I541" s="3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4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3" t="n">
        <v>58</v>
      </c>
      <c r="I542" s="3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4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3" t="n">
        <v>40</v>
      </c>
      <c r="I543" s="3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4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3" t="n">
        <v>35</v>
      </c>
      <c r="I544" s="3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4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3" t="n">
        <v>78</v>
      </c>
      <c r="I545" s="3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4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3" t="n">
        <v>52</v>
      </c>
      <c r="I546" s="3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4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3" t="n">
        <v>45</v>
      </c>
      <c r="I547" s="3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4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3" t="n">
        <v>52</v>
      </c>
      <c r="I548" s="3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4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3" t="n">
        <v>68</v>
      </c>
      <c r="I549" s="3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4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3" t="n">
        <v>58</v>
      </c>
      <c r="I550" s="3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4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3" t="n">
        <v>35</v>
      </c>
      <c r="I551" s="3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4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3" t="n">
        <v>58</v>
      </c>
      <c r="I552" s="3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4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3" t="n">
        <v>55</v>
      </c>
      <c r="I553" s="3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4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3" t="n">
        <v>58</v>
      </c>
      <c r="I554" s="3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4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3" t="n">
        <v>40</v>
      </c>
      <c r="I555" s="3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4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3" t="n">
        <v>38</v>
      </c>
      <c r="I556" s="3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4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3" t="n">
        <v>55</v>
      </c>
      <c r="I557" s="3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4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3" t="n">
        <v>58</v>
      </c>
      <c r="I558" s="3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4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3" t="n">
        <v>38</v>
      </c>
      <c r="I559" s="3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4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3" t="n">
        <v>22</v>
      </c>
      <c r="I560" s="3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4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3" t="n">
        <v>35</v>
      </c>
      <c r="I561" s="3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4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3" t="n">
        <v>38</v>
      </c>
      <c r="I562" s="3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4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3" t="n">
        <v>55</v>
      </c>
      <c r="I563" s="3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4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3" t="n">
        <v>68</v>
      </c>
      <c r="I564" s="3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4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3" t="n">
        <v>58</v>
      </c>
      <c r="I565" s="3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4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3" t="n">
        <v>38</v>
      </c>
      <c r="I566" s="3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4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3" t="n">
        <v>60</v>
      </c>
      <c r="I567" s="3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4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3" t="n">
        <v>55</v>
      </c>
      <c r="I568" s="3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4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3" t="n">
        <v>40</v>
      </c>
      <c r="I569" s="3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4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3" t="n">
        <v>22</v>
      </c>
      <c r="I570" s="3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4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3" t="n">
        <v>52</v>
      </c>
      <c r="I571" s="3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4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3" t="n">
        <v>58</v>
      </c>
      <c r="I572" s="3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4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3" t="n">
        <v>52</v>
      </c>
      <c r="I573" s="3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4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3" t="n">
        <v>40</v>
      </c>
      <c r="I574" s="3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4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3" t="n">
        <v>68</v>
      </c>
      <c r="I575" s="3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4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3" t="n">
        <v>54</v>
      </c>
      <c r="I576" s="3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4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3" t="n">
        <v>40</v>
      </c>
      <c r="I577" s="3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4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3" t="n">
        <v>35</v>
      </c>
      <c r="I578" s="3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4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3" t="n">
        <v>55</v>
      </c>
      <c r="I579" s="3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4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3" t="n">
        <v>58</v>
      </c>
      <c r="I580" s="3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4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3" t="n">
        <v>35</v>
      </c>
      <c r="I581" s="3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4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3" t="n">
        <v>35</v>
      </c>
      <c r="I582" s="3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4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3" t="n">
        <v>55</v>
      </c>
      <c r="I583" s="3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4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3" t="n">
        <v>38</v>
      </c>
      <c r="I584" s="3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4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3" t="n">
        <v>60</v>
      </c>
      <c r="I585" s="3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4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3" t="n">
        <v>38</v>
      </c>
      <c r="I586" s="3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4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3" t="n">
        <v>60</v>
      </c>
      <c r="I587" s="3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4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3" t="n">
        <v>52</v>
      </c>
      <c r="I588" s="3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4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3" t="n">
        <v>38</v>
      </c>
      <c r="I589" s="3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4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3" t="n">
        <v>68</v>
      </c>
      <c r="I590" s="3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4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3" t="n">
        <v>52</v>
      </c>
      <c r="I591" s="3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4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3" t="n">
        <v>55</v>
      </c>
      <c r="I592" s="3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4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3" t="n">
        <v>40</v>
      </c>
      <c r="I593" s="3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4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3" t="n">
        <v>68</v>
      </c>
      <c r="I594" s="3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4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3" t="n">
        <v>68</v>
      </c>
      <c r="I595" s="3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4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3" t="n">
        <v>52</v>
      </c>
      <c r="I596" s="3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4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3" t="n">
        <v>55</v>
      </c>
      <c r="I597" s="3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4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3" t="n">
        <v>40</v>
      </c>
      <c r="I598" s="3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4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3" t="n">
        <v>60</v>
      </c>
      <c r="I599" s="3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4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3" t="n">
        <v>38</v>
      </c>
      <c r="I600" s="3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4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3" t="n">
        <v>35</v>
      </c>
      <c r="I601" s="3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4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3" t="n">
        <v>58</v>
      </c>
      <c r="I602" s="3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4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3" t="n">
        <v>38</v>
      </c>
      <c r="I603" s="3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4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3" t="n">
        <v>22</v>
      </c>
      <c r="I604" s="3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4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3" t="n">
        <v>58</v>
      </c>
      <c r="I605" s="3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4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3" t="n">
        <v>85</v>
      </c>
      <c r="I606" s="3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4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3" t="n">
        <v>55</v>
      </c>
      <c r="I607" s="3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4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3" t="n">
        <v>60</v>
      </c>
      <c r="I608" s="3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4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3" t="n">
        <v>68</v>
      </c>
      <c r="I609" s="3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4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3" t="n">
        <v>38</v>
      </c>
      <c r="I610" s="3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4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3" t="n">
        <v>38</v>
      </c>
      <c r="I611" s="3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4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3" t="n">
        <v>40</v>
      </c>
      <c r="I612" s="3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4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3" t="n">
        <v>40</v>
      </c>
      <c r="I613" s="3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4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3" t="n">
        <v>52</v>
      </c>
      <c r="I614" s="3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4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3" t="n">
        <v>25</v>
      </c>
      <c r="I615" s="3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4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3" t="n">
        <v>58</v>
      </c>
      <c r="I616" s="3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4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3" t="n">
        <v>38</v>
      </c>
      <c r="I617" s="3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4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3" t="n">
        <v>38</v>
      </c>
      <c r="I618" s="3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4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3" t="n">
        <v>78</v>
      </c>
      <c r="I619" s="3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4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3" t="n">
        <v>68</v>
      </c>
      <c r="I620" s="3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4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3" t="n">
        <v>38</v>
      </c>
      <c r="I621" s="3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4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3" t="n">
        <v>22</v>
      </c>
      <c r="I622" s="3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4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3" t="n">
        <v>52</v>
      </c>
      <c r="I623" s="3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4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3" t="n">
        <v>25</v>
      </c>
      <c r="I624" s="3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4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3" t="n">
        <v>85</v>
      </c>
      <c r="I625" s="3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4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3" t="n">
        <v>35</v>
      </c>
      <c r="I626" s="3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4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3" t="n">
        <v>40</v>
      </c>
      <c r="I627" s="3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4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3" t="n">
        <v>35</v>
      </c>
      <c r="I628" s="3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4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3" t="n">
        <v>38</v>
      </c>
      <c r="I629" s="3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4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3" t="n">
        <v>54</v>
      </c>
      <c r="I630" s="3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4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3" t="n">
        <v>68</v>
      </c>
      <c r="I631" s="3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4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3" t="n">
        <v>68</v>
      </c>
      <c r="I632" s="3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4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3" t="n">
        <v>55</v>
      </c>
      <c r="I633" s="3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4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3" t="n">
        <v>60</v>
      </c>
      <c r="I634" s="3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4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3" t="n">
        <v>78</v>
      </c>
      <c r="I635" s="3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4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3" t="n">
        <v>35</v>
      </c>
      <c r="I636" s="3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4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3" t="n">
        <v>68</v>
      </c>
      <c r="I637" s="3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4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3" t="n">
        <v>58</v>
      </c>
      <c r="I638" s="3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4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3" t="n">
        <v>58</v>
      </c>
      <c r="I639" s="3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4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3" t="n">
        <v>55</v>
      </c>
      <c r="I640" s="3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4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3" t="n">
        <v>25</v>
      </c>
      <c r="I641" s="3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4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3" t="n">
        <v>38</v>
      </c>
      <c r="I642" s="3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4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3" t="n">
        <v>38</v>
      </c>
      <c r="I643" s="3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4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3" t="n">
        <v>25</v>
      </c>
      <c r="I644" s="3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4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3" t="n">
        <v>45</v>
      </c>
      <c r="I645" s="3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4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3" t="n">
        <v>58</v>
      </c>
      <c r="I646" s="3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4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3" t="n">
        <v>40</v>
      </c>
      <c r="I647" s="3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4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3" t="n">
        <v>25</v>
      </c>
      <c r="I648" s="3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4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3" t="n">
        <v>55</v>
      </c>
      <c r="I649" s="3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4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3" t="n">
        <v>68</v>
      </c>
      <c r="I650" s="3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4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3" t="n">
        <v>40</v>
      </c>
      <c r="I651" s="3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4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3" t="n">
        <v>60</v>
      </c>
      <c r="I652" s="3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4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3" t="n">
        <v>78</v>
      </c>
      <c r="I653" s="3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4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3" t="n">
        <v>38</v>
      </c>
      <c r="I654" s="3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4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3" t="n">
        <v>38</v>
      </c>
      <c r="I655" s="3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4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3" t="n">
        <v>22</v>
      </c>
      <c r="I656" s="3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4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3" t="n">
        <v>78</v>
      </c>
      <c r="I657" s="3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4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3" t="n">
        <v>35</v>
      </c>
      <c r="I658" s="3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4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3" t="n">
        <v>45</v>
      </c>
      <c r="I659" s="3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4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3" t="n">
        <v>85</v>
      </c>
      <c r="I660" s="3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4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3" t="n">
        <v>22</v>
      </c>
      <c r="I661" s="3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4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3" t="n">
        <v>40</v>
      </c>
      <c r="I662" s="3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4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3" t="n">
        <v>68</v>
      </c>
      <c r="I663" s="3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4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3" t="n">
        <v>58</v>
      </c>
      <c r="I664" s="3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4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3" t="n">
        <v>38</v>
      </c>
      <c r="I665" s="3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4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3" t="n">
        <v>52</v>
      </c>
      <c r="I666" s="3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4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3" t="n">
        <v>38</v>
      </c>
      <c r="I667" s="3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4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3" t="n">
        <v>55</v>
      </c>
      <c r="I668" s="3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4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3" t="n">
        <v>58</v>
      </c>
      <c r="I669" s="3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4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3" t="n">
        <v>58</v>
      </c>
      <c r="I670" s="3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4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3" t="n">
        <v>54</v>
      </c>
      <c r="I671" s="3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4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3" t="n">
        <v>55</v>
      </c>
      <c r="I672" s="3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4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3" t="n">
        <v>38</v>
      </c>
      <c r="I673" s="3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4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3" t="n">
        <v>60</v>
      </c>
      <c r="I674" s="3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4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3" t="n">
        <v>40</v>
      </c>
      <c r="I675" s="3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4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3" t="n">
        <v>40</v>
      </c>
      <c r="I676" s="3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4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3" t="n">
        <v>40</v>
      </c>
      <c r="I677" s="3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4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3" t="n">
        <v>52</v>
      </c>
      <c r="I678" s="3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4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3" t="n">
        <v>22</v>
      </c>
      <c r="I679" s="3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4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3" t="n">
        <v>40</v>
      </c>
      <c r="I680" s="3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4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3" t="n">
        <v>58</v>
      </c>
      <c r="I681" s="3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4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3" t="n">
        <v>55</v>
      </c>
      <c r="I682" s="3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4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3" t="n">
        <v>68</v>
      </c>
      <c r="I683" s="3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4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3" t="n">
        <v>68</v>
      </c>
      <c r="I684" s="3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4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3" t="n">
        <v>45</v>
      </c>
      <c r="I685" s="3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4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3" t="n">
        <v>78</v>
      </c>
      <c r="I686" s="3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4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3" t="n">
        <v>40</v>
      </c>
      <c r="I687" s="3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4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3" t="n">
        <v>55</v>
      </c>
      <c r="I688" s="3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4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3" t="n">
        <v>40</v>
      </c>
      <c r="I689" s="3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4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3" t="n">
        <v>52</v>
      </c>
      <c r="I690" s="3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4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3" t="n">
        <v>78</v>
      </c>
      <c r="I691" s="3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4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3" t="n">
        <v>40</v>
      </c>
      <c r="I692" s="3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4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3" t="n">
        <v>60</v>
      </c>
      <c r="I693" s="3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4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3" t="n">
        <v>35</v>
      </c>
      <c r="I694" s="3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4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3" t="n">
        <v>60</v>
      </c>
      <c r="I695" s="3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4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3" t="n">
        <v>52</v>
      </c>
      <c r="I696" s="3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4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3" t="n">
        <v>25</v>
      </c>
      <c r="I697" s="3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4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3" t="n">
        <v>38</v>
      </c>
      <c r="I698" s="3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4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3" t="n">
        <v>55</v>
      </c>
      <c r="I699" s="3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4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3" t="n">
        <v>55</v>
      </c>
      <c r="I700" s="3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4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3" t="n">
        <v>68</v>
      </c>
      <c r="I701" s="3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4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3" t="n">
        <v>40</v>
      </c>
      <c r="I702" s="3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4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3" t="n">
        <v>52</v>
      </c>
      <c r="I703" s="3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4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3" t="n">
        <v>68</v>
      </c>
      <c r="I704" s="3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4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3" t="n">
        <v>55</v>
      </c>
      <c r="I705" s="3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4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3" t="n">
        <v>68</v>
      </c>
      <c r="I706" s="3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4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3" t="n">
        <v>40</v>
      </c>
      <c r="I707" s="3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4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3" t="n">
        <v>78</v>
      </c>
      <c r="I708" s="3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4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3" t="n">
        <v>60</v>
      </c>
      <c r="I709" s="3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4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3" t="n">
        <v>58</v>
      </c>
      <c r="I710" s="3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4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3" t="n">
        <v>22</v>
      </c>
      <c r="I711" s="3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4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3" t="n">
        <v>35</v>
      </c>
      <c r="I712" s="3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4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3" t="n">
        <v>22</v>
      </c>
      <c r="I713" s="3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4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3" t="n">
        <v>40</v>
      </c>
      <c r="I714" s="3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4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3" t="n">
        <v>55</v>
      </c>
      <c r="I715" s="3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4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3" t="n">
        <v>58</v>
      </c>
      <c r="I716" s="3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4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3" t="n">
        <v>35</v>
      </c>
      <c r="I717" s="3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4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3" t="n">
        <v>35</v>
      </c>
      <c r="I718" s="3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4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3" t="n">
        <v>52</v>
      </c>
      <c r="I719" s="3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4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3" t="n">
        <v>22</v>
      </c>
      <c r="I720" s="3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4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3" t="n">
        <v>22</v>
      </c>
      <c r="I721" s="3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5" customWidth="1" min="5" max="5"/>
    <col width="17" customWidth="1" min="6" max="6"/>
  </cols>
  <sheetData>
    <row r="1">
      <c r="A1" s="2" t="inlineStr">
        <is>
          <t>Nombre</t>
        </is>
      </c>
      <c r="B1" s="2" t="inlineStr">
        <is>
          <t>Sucursal</t>
        </is>
      </c>
      <c r="C1" s="2" t="inlineStr">
        <is>
          <t>Puesto</t>
        </is>
      </c>
      <c r="D1" s="2" t="inlineStr">
        <is>
          <t>Ingreso</t>
        </is>
      </c>
      <c r="E1" s="2" t="inlineStr">
        <is>
          <t>Ventas octubre</t>
        </is>
      </c>
      <c r="F1" s="2" t="inlineStr">
        <is>
          <t>Ventas noviembre</t>
        </is>
      </c>
    </row>
    <row r="2">
      <c r="A2" t="inlineStr">
        <is>
          <t>Andrea Solís</t>
        </is>
      </c>
      <c r="B2" t="inlineStr">
        <is>
          <t>Centro</t>
        </is>
      </c>
      <c r="C2" t="inlineStr">
        <is>
          <t>Barista</t>
        </is>
      </c>
      <c r="D2" s="4" t="n">
        <v>43598</v>
      </c>
      <c r="E2" s="3" t="n">
        <v>12850</v>
      </c>
      <c r="F2" s="3" t="n">
        <v>11200</v>
      </c>
    </row>
    <row r="3">
      <c r="A3" t="inlineStr">
        <is>
          <t>Bruno Castillo</t>
        </is>
      </c>
      <c r="B3" t="inlineStr">
        <is>
          <t>Centro</t>
        </is>
      </c>
      <c r="C3" t="inlineStr">
        <is>
          <t>Barista</t>
        </is>
      </c>
      <c r="D3" s="4" t="n">
        <v>44214</v>
      </c>
      <c r="E3" s="3" t="n">
        <v>9420</v>
      </c>
      <c r="F3" s="3" t="n">
        <v>10050</v>
      </c>
    </row>
    <row r="4">
      <c r="A4" t="inlineStr">
        <is>
          <t>Carla Núñez</t>
        </is>
      </c>
      <c r="B4" t="inlineStr">
        <is>
          <t>Centro</t>
        </is>
      </c>
      <c r="C4" t="inlineStr">
        <is>
          <t>Cajera</t>
        </is>
      </c>
      <c r="D4" s="4" t="n">
        <v>44075</v>
      </c>
      <c r="E4" s="3" t="n">
        <v>10000</v>
      </c>
      <c r="F4" s="3" t="n">
        <v>8700</v>
      </c>
    </row>
    <row r="5">
      <c r="A5" t="inlineStr">
        <is>
          <t>Daniel Pineda</t>
        </is>
      </c>
      <c r="B5" t="inlineStr">
        <is>
          <t>Centro</t>
        </is>
      </c>
      <c r="C5" t="inlineStr">
        <is>
          <t>Barista</t>
        </is>
      </c>
      <c r="D5" s="4" t="n">
        <v>44991</v>
      </c>
      <c r="E5" s="3" t="n">
        <v>7350</v>
      </c>
      <c r="F5" s="3" t="n">
        <v>9999</v>
      </c>
    </row>
    <row r="6">
      <c r="A6" t="inlineStr">
        <is>
          <t>Elena Robles</t>
        </is>
      </c>
      <c r="B6" t="inlineStr">
        <is>
          <t>Centro</t>
        </is>
      </c>
      <c r="C6" t="inlineStr">
        <is>
          <t>Supervisora</t>
        </is>
      </c>
      <c r="D6" s="4" t="n">
        <v>42926</v>
      </c>
      <c r="E6" s="3" t="n">
        <v>15600</v>
      </c>
      <c r="F6" s="3" t="n">
        <v>16800</v>
      </c>
    </row>
    <row r="7">
      <c r="A7" t="inlineStr">
        <is>
          <t>Fernando Ibarra</t>
        </is>
      </c>
      <c r="B7" t="inlineStr">
        <is>
          <t>Centro</t>
        </is>
      </c>
      <c r="C7" t="inlineStr">
        <is>
          <t>Barista</t>
        </is>
      </c>
      <c r="D7" s="4" t="n">
        <v>45334</v>
      </c>
      <c r="E7" s="3" t="n">
        <v>8900</v>
      </c>
      <c r="F7" s="3" t="n">
        <v>12400</v>
      </c>
    </row>
    <row r="8">
      <c r="A8" t="inlineStr">
        <is>
          <t>Gabriela Luna</t>
        </is>
      </c>
      <c r="B8" t="inlineStr">
        <is>
          <t>Centro</t>
        </is>
      </c>
      <c r="C8" t="inlineStr">
        <is>
          <t>Cajera</t>
        </is>
      </c>
      <c r="D8" s="4" t="n">
        <v>44732</v>
      </c>
      <c r="E8" s="3" t="n">
        <v>11240</v>
      </c>
      <c r="F8" s="3" t="n">
        <v>7600</v>
      </c>
    </row>
    <row r="9">
      <c r="A9" t="inlineStr">
        <is>
          <t>Héctor Vargas</t>
        </is>
      </c>
      <c r="B9" t="inlineStr">
        <is>
          <t>Norte</t>
        </is>
      </c>
      <c r="C9" t="inlineStr">
        <is>
          <t>Barista</t>
        </is>
      </c>
      <c r="D9" s="4" t="n">
        <v>43745</v>
      </c>
      <c r="E9" s="3" t="n">
        <v>13480</v>
      </c>
      <c r="F9" s="3" t="n">
        <v>10000</v>
      </c>
    </row>
    <row r="10">
      <c r="A10" t="inlineStr">
        <is>
          <t>Isabel Cruz</t>
        </is>
      </c>
      <c r="B10" t="inlineStr">
        <is>
          <t>Norte</t>
        </is>
      </c>
      <c r="C10" t="inlineStr">
        <is>
          <t>Supervisora</t>
        </is>
      </c>
      <c r="D10" s="4" t="n">
        <v>43692</v>
      </c>
      <c r="E10" s="3" t="n">
        <v>16250</v>
      </c>
      <c r="F10" s="3" t="n">
        <v>15100</v>
      </c>
    </row>
    <row r="11">
      <c r="A11" t="inlineStr">
        <is>
          <t>Jorge Medina</t>
        </is>
      </c>
      <c r="B11" t="inlineStr">
        <is>
          <t>Norte</t>
        </is>
      </c>
      <c r="C11" t="inlineStr">
        <is>
          <t>Barista</t>
        </is>
      </c>
      <c r="D11" s="4" t="n">
        <v>44522</v>
      </c>
      <c r="E11" s="3" t="n">
        <v>9990</v>
      </c>
      <c r="F11" s="3" t="n">
        <v>8450</v>
      </c>
    </row>
    <row r="12">
      <c r="A12" t="inlineStr">
        <is>
          <t>Karen Salazar</t>
        </is>
      </c>
      <c r="B12" t="inlineStr">
        <is>
          <t>Norte</t>
        </is>
      </c>
      <c r="C12" t="inlineStr">
        <is>
          <t>Cajera</t>
        </is>
      </c>
      <c r="D12" s="4" t="n">
        <v>44935</v>
      </c>
      <c r="E12" s="3" t="n">
        <v>6780</v>
      </c>
      <c r="F12" s="3" t="n">
        <v>9300</v>
      </c>
    </row>
    <row r="13">
      <c r="A13" t="inlineStr">
        <is>
          <t>Leonardo Ríos</t>
        </is>
      </c>
      <c r="B13" t="inlineStr">
        <is>
          <t>Norte</t>
        </is>
      </c>
      <c r="C13" t="inlineStr">
        <is>
          <t>Barista</t>
        </is>
      </c>
      <c r="D13" s="4" t="n">
        <v>44655</v>
      </c>
      <c r="E13" s="3" t="n">
        <v>10420</v>
      </c>
      <c r="F13" s="3" t="n">
        <v>13750</v>
      </c>
    </row>
    <row r="14">
      <c r="A14" t="inlineStr">
        <is>
          <t>Mariana Paredes</t>
        </is>
      </c>
      <c r="B14" t="inlineStr">
        <is>
          <t>Norte</t>
        </is>
      </c>
      <c r="C14" t="inlineStr">
        <is>
          <t>Barista</t>
        </is>
      </c>
      <c r="D14" s="4" t="n">
        <v>45523</v>
      </c>
      <c r="E14" s="3" t="n">
        <v>8150</v>
      </c>
      <c r="F14" s="3" t="n">
        <v>10600</v>
      </c>
    </row>
    <row r="15">
      <c r="A15" t="inlineStr">
        <is>
          <t>Nicolás Herrera</t>
        </is>
      </c>
      <c r="B15" t="inlineStr">
        <is>
          <t>Sur</t>
        </is>
      </c>
      <c r="C15" t="inlineStr">
        <is>
          <t>Barista</t>
        </is>
      </c>
      <c r="D15" s="4" t="n">
        <v>44593</v>
      </c>
      <c r="E15" s="3" t="n">
        <v>11870</v>
      </c>
      <c r="F15" s="3" t="n">
        <v>7900</v>
      </c>
    </row>
    <row r="16">
      <c r="A16" t="inlineStr">
        <is>
          <t>Olivia Campos</t>
        </is>
      </c>
      <c r="B16" t="inlineStr">
        <is>
          <t>Sur</t>
        </is>
      </c>
      <c r="C16" t="inlineStr">
        <is>
          <t>Supervisora</t>
        </is>
      </c>
      <c r="D16" s="4" t="n">
        <v>44593</v>
      </c>
      <c r="E16" s="3" t="n">
        <v>14320</v>
      </c>
      <c r="F16" s="3" t="n">
        <v>12950</v>
      </c>
    </row>
    <row r="17">
      <c r="A17" t="inlineStr">
        <is>
          <t>Pablo Aguilar</t>
        </is>
      </c>
      <c r="B17" t="inlineStr">
        <is>
          <t>Sur</t>
        </is>
      </c>
      <c r="C17" t="inlineStr">
        <is>
          <t>Cajero</t>
        </is>
      </c>
      <c r="D17" s="4" t="n">
        <v>44816</v>
      </c>
      <c r="E17" s="3" t="n">
        <v>7640</v>
      </c>
      <c r="F17" s="3" t="n">
        <v>11100</v>
      </c>
    </row>
    <row r="18">
      <c r="A18" t="inlineStr">
        <is>
          <t>Regina Fuentes</t>
        </is>
      </c>
      <c r="B18" t="inlineStr">
        <is>
          <t>Sur</t>
        </is>
      </c>
      <c r="C18" t="inlineStr">
        <is>
          <t>Barista</t>
        </is>
      </c>
      <c r="D18" s="4" t="n">
        <v>45075</v>
      </c>
      <c r="E18" s="3" t="n">
        <v>10000</v>
      </c>
      <c r="F18" s="3" t="n">
        <v>6400</v>
      </c>
    </row>
    <row r="19">
      <c r="A19" t="inlineStr">
        <is>
          <t>Sergio Mendoza</t>
        </is>
      </c>
      <c r="B19" t="inlineStr">
        <is>
          <t>Sur</t>
        </is>
      </c>
      <c r="C19" t="inlineStr">
        <is>
          <t>Barista</t>
        </is>
      </c>
      <c r="D19" s="4" t="n">
        <v>45306</v>
      </c>
      <c r="E19" s="3" t="n">
        <v>9150</v>
      </c>
      <c r="F19" s="3" t="n">
        <v>10300</v>
      </c>
    </row>
    <row r="20">
      <c r="A20" t="inlineStr">
        <is>
          <t>Tania Guzmán</t>
        </is>
      </c>
      <c r="B20" t="inlineStr">
        <is>
          <t>Sur</t>
        </is>
      </c>
      <c r="C20" t="inlineStr">
        <is>
          <t>Cajera</t>
        </is>
      </c>
      <c r="D20" s="4" t="n">
        <v>45572</v>
      </c>
      <c r="E20" s="3" t="n">
        <v>5980</v>
      </c>
      <c r="F20" s="3" t="n">
        <v>9800</v>
      </c>
    </row>
    <row r="21">
      <c r="A21" t="inlineStr">
        <is>
          <t>Valeria Ochoa</t>
        </is>
      </c>
      <c r="B21" t="inlineStr">
        <is>
          <t>Sur</t>
        </is>
      </c>
      <c r="C21" t="inlineStr">
        <is>
          <t>Barista</t>
        </is>
      </c>
      <c r="D21" s="4" t="n">
        <v>45663</v>
      </c>
      <c r="E21" s="3" t="n">
        <v>12300</v>
      </c>
      <c r="F21" s="3" t="n">
        <v>14200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0" customWidth="1" min="4" max="4"/>
    <col width="10" customWidth="1" min="5" max="5"/>
    <col width="12" customWidth="1" min="6" max="6"/>
    <col width="8" customWidth="1" min="7" max="7"/>
  </cols>
  <sheetData>
    <row r="1">
      <c r="A1" s="2" t="inlineStr">
        <is>
          <t>ID</t>
        </is>
      </c>
      <c r="B1" s="2" t="inlineStr">
        <is>
          <t>Nombre completo</t>
        </is>
      </c>
      <c r="C1" s="2" t="inlineStr">
        <is>
          <t>Teléfono</t>
        </is>
      </c>
      <c r="D1" s="2" t="inlineStr">
        <is>
          <t>Correo</t>
        </is>
      </c>
      <c r="E1" s="2" t="inlineStr">
        <is>
          <t>Sucursal</t>
        </is>
      </c>
      <c r="F1" s="2" t="inlineStr">
        <is>
          <t>Registro</t>
        </is>
      </c>
      <c r="G1" s="2" t="inlineStr">
        <is>
          <t>Puntos</t>
        </is>
      </c>
    </row>
    <row r="2">
      <c r="A2" t="inlineStr">
        <is>
          <t>CL-101</t>
        </is>
      </c>
      <c r="B2" t="inlineStr">
        <is>
          <t>Mónica Estrada</t>
        </is>
      </c>
      <c r="C2" t="n">
        <v>5544935885</v>
      </c>
      <c r="D2" t="inlineStr">
        <is>
          <t>monica.estrada@correo.mx</t>
        </is>
      </c>
      <c r="E2" t="inlineStr">
        <is>
          <t>Sur</t>
        </is>
      </c>
      <c r="F2" s="4" t="n">
        <v>45612</v>
      </c>
      <c r="G2" t="n">
        <v>260</v>
      </c>
    </row>
    <row r="3">
      <c r="A3" t="inlineStr">
        <is>
          <t>CL-102</t>
        </is>
      </c>
      <c r="B3" t="inlineStr">
        <is>
          <t>Ricardo Domínguez</t>
        </is>
      </c>
      <c r="C3" t="n">
        <v>5536733634</v>
      </c>
      <c r="D3" t="inlineStr">
        <is>
          <t>ricardo.dominguez@correo.mx</t>
        </is>
      </c>
      <c r="E3" t="inlineStr">
        <is>
          <t>Sur</t>
        </is>
      </c>
      <c r="F3" s="4" t="n">
        <v>45455</v>
      </c>
      <c r="G3" t="n">
        <v>90</v>
      </c>
    </row>
    <row r="4">
      <c r="A4" t="inlineStr">
        <is>
          <t>CL-103</t>
        </is>
      </c>
      <c r="B4" t="inlineStr">
        <is>
          <t>Daniela Navarro</t>
        </is>
      </c>
      <c r="C4" t="n">
        <v>5549171880</v>
      </c>
      <c r="D4" t="inlineStr">
        <is>
          <t>daniela.navarro@correo.mx</t>
        </is>
      </c>
      <c r="E4" t="inlineStr">
        <is>
          <t>Centro</t>
        </is>
      </c>
      <c r="F4" s="4" t="n">
        <v>45396</v>
      </c>
      <c r="G4" t="n">
        <v>230</v>
      </c>
    </row>
    <row r="5">
      <c r="A5" t="inlineStr">
        <is>
          <t>CL-104</t>
        </is>
      </c>
      <c r="B5" t="inlineStr">
        <is>
          <t>Gustavo López</t>
        </is>
      </c>
      <c r="C5" t="n">
        <v>5531745654</v>
      </c>
      <c r="D5" t="inlineStr">
        <is>
          <t>gustavo.lopez@correo.mx</t>
        </is>
      </c>
      <c r="E5" t="inlineStr">
        <is>
          <t>Sur</t>
        </is>
      </c>
      <c r="F5" s="4" t="n">
        <v>45530</v>
      </c>
      <c r="G5" t="n">
        <v>110</v>
      </c>
    </row>
    <row r="6">
      <c r="A6" t="inlineStr">
        <is>
          <t>CL-105</t>
        </is>
      </c>
      <c r="B6" t="inlineStr">
        <is>
          <t>Lucía Mejía</t>
        </is>
      </c>
      <c r="C6" t="n">
        <v>5554187195</v>
      </c>
      <c r="D6" t="inlineStr">
        <is>
          <t>lucia.mejia@correo.mx</t>
        </is>
      </c>
      <c r="E6" t="inlineStr">
        <is>
          <t>Centro</t>
        </is>
      </c>
      <c r="F6" s="4" t="n">
        <v>45397</v>
      </c>
      <c r="G6" t="n">
        <v>50</v>
      </c>
    </row>
    <row r="7">
      <c r="A7" t="inlineStr">
        <is>
          <t>CL-106</t>
        </is>
      </c>
      <c r="B7" t="inlineStr">
        <is>
          <t>Joaquín Bravo</t>
        </is>
      </c>
      <c r="C7" t="n">
        <v>5585650243</v>
      </c>
      <c r="D7" t="inlineStr">
        <is>
          <t>joaquin.bravo@correo.mx</t>
        </is>
      </c>
      <c r="E7" t="inlineStr">
        <is>
          <t>Sur</t>
        </is>
      </c>
      <c r="F7" s="4" t="n">
        <v>45507</v>
      </c>
      <c r="G7" t="n">
        <v>350</v>
      </c>
    </row>
    <row r="8">
      <c r="A8" t="inlineStr">
        <is>
          <t>CL-107</t>
        </is>
      </c>
      <c r="B8" t="inlineStr">
        <is>
          <t>Itzel García</t>
        </is>
      </c>
      <c r="C8" t="n">
        <v>5584824573</v>
      </c>
      <c r="D8" t="inlineStr">
        <is>
          <t>itzel.garcia@correo.mx</t>
        </is>
      </c>
      <c r="E8" t="inlineStr">
        <is>
          <t>Norte</t>
        </is>
      </c>
      <c r="F8" s="4" t="n">
        <v>45652</v>
      </c>
      <c r="G8" t="n">
        <v>260</v>
      </c>
    </row>
    <row r="9">
      <c r="A9" t="inlineStr">
        <is>
          <t>CL-108</t>
        </is>
      </c>
      <c r="B9" t="inlineStr">
        <is>
          <t>Manuel Cortés</t>
        </is>
      </c>
      <c r="C9" t="n">
        <v>5567866621</v>
      </c>
      <c r="D9" t="inlineStr">
        <is>
          <t>manuel.cortes@correo.mx</t>
        </is>
      </c>
      <c r="E9" t="inlineStr">
        <is>
          <t>Sur</t>
        </is>
      </c>
      <c r="F9" s="4" t="n">
        <v>45510</v>
      </c>
      <c r="G9" t="n">
        <v>10</v>
      </c>
    </row>
    <row r="10">
      <c r="A10" t="inlineStr">
        <is>
          <t>CL-109</t>
        </is>
      </c>
      <c r="B10" t="inlineStr">
        <is>
          <t>Santiago Torres</t>
        </is>
      </c>
      <c r="C10" t="n">
        <v>5554100470</v>
      </c>
      <c r="D10" t="inlineStr">
        <is>
          <t>santiago.torres@correo.mx</t>
        </is>
      </c>
      <c r="E10" t="inlineStr">
        <is>
          <t>Centro</t>
        </is>
      </c>
      <c r="F10" s="4" t="n">
        <v>45429</v>
      </c>
      <c r="G10" t="n">
        <v>20</v>
      </c>
    </row>
    <row r="11">
      <c r="A11" t="inlineStr">
        <is>
          <t>CL-104</t>
        </is>
      </c>
      <c r="B11" t="inlineStr">
        <is>
          <t>Gustavo López</t>
        </is>
      </c>
      <c r="C11" t="n">
        <v>5531745654</v>
      </c>
      <c r="D11" t="inlineStr">
        <is>
          <t>gustavo.lopez@correo.mx</t>
        </is>
      </c>
      <c r="E11" t="inlineStr">
        <is>
          <t>Sur</t>
        </is>
      </c>
      <c r="F11" s="4" t="n">
        <v>45530</v>
      </c>
      <c r="G11" t="n">
        <v>110</v>
      </c>
    </row>
    <row r="12">
      <c r="A12" t="inlineStr">
        <is>
          <t>CL-110</t>
        </is>
      </c>
      <c r="B12" t="inlineStr">
        <is>
          <t>Itzel Sánchez</t>
        </is>
      </c>
      <c r="C12" t="n">
        <v>5582762630</v>
      </c>
      <c r="D12" t="inlineStr">
        <is>
          <t>itzel.sanchez@correo.mx</t>
        </is>
      </c>
      <c r="E12" t="inlineStr">
        <is>
          <t>Sur</t>
        </is>
      </c>
      <c r="F12" s="4" t="n">
        <v>45885</v>
      </c>
      <c r="G12" t="n">
        <v>460</v>
      </c>
    </row>
    <row r="13">
      <c r="A13" t="inlineStr">
        <is>
          <t>CL-111</t>
        </is>
      </c>
      <c r="B13" t="inlineStr">
        <is>
          <t>Gustavo Flores</t>
        </is>
      </c>
      <c r="C13" t="n">
        <v>5523072276</v>
      </c>
      <c r="D13" t="inlineStr">
        <is>
          <t>gustavo.flores@correo.mx</t>
        </is>
      </c>
      <c r="E13" t="inlineStr">
        <is>
          <t>Centro</t>
        </is>
      </c>
      <c r="F13" s="4" t="n">
        <v>45458</v>
      </c>
      <c r="G13" t="n">
        <v>130</v>
      </c>
    </row>
    <row r="14">
      <c r="A14" t="inlineStr">
        <is>
          <t>CL-112</t>
        </is>
      </c>
      <c r="B14" t="inlineStr">
        <is>
          <t>Rodrigo Silva</t>
        </is>
      </c>
      <c r="C14" t="n">
        <v>5596055706</v>
      </c>
      <c r="D14" t="inlineStr">
        <is>
          <t>rodrigo.silva@correo.mx</t>
        </is>
      </c>
      <c r="E14" t="inlineStr">
        <is>
          <t>Centro</t>
        </is>
      </c>
      <c r="F14" s="4" t="n">
        <v>45346</v>
      </c>
      <c r="G14" t="n">
        <v>170</v>
      </c>
    </row>
    <row r="15">
      <c r="A15" t="inlineStr">
        <is>
          <t>CL-113</t>
        </is>
      </c>
      <c r="B15" t="inlineStr">
        <is>
          <t>Daniela Ponce</t>
        </is>
      </c>
      <c r="C15" t="n">
        <v>5543897131</v>
      </c>
      <c r="D15" t="inlineStr">
        <is>
          <t>daniela.ponce@correo.mx</t>
        </is>
      </c>
      <c r="E15" t="inlineStr">
        <is>
          <t>Centro</t>
        </is>
      </c>
      <c r="F15" s="4" t="n">
        <v>45390</v>
      </c>
      <c r="G15" t="n">
        <v>310</v>
      </c>
    </row>
    <row r="16">
      <c r="A16" t="inlineStr">
        <is>
          <t>CL-114</t>
        </is>
      </c>
      <c r="B16" t="inlineStr">
        <is>
          <t>Renata Jiménez</t>
        </is>
      </c>
      <c r="C16" t="n">
        <v>5591591350</v>
      </c>
      <c r="D16" t="inlineStr">
        <is>
          <t>renata.jimenez@correo.mx</t>
        </is>
      </c>
      <c r="E16" t="inlineStr">
        <is>
          <t>Sur</t>
        </is>
      </c>
      <c r="F16" s="4" t="n">
        <v>45408</v>
      </c>
      <c r="G16" t="n">
        <v>450</v>
      </c>
    </row>
    <row r="17">
      <c r="A17" t="inlineStr">
        <is>
          <t>CL-115</t>
        </is>
      </c>
      <c r="B17" t="inlineStr">
        <is>
          <t>Sofía Zamora</t>
        </is>
      </c>
      <c r="C17" t="n">
        <v>5531396708</v>
      </c>
      <c r="D17" t="inlineStr">
        <is>
          <t>sofia.zamora@correo.mx</t>
        </is>
      </c>
      <c r="E17" t="inlineStr">
        <is>
          <t>Sur</t>
        </is>
      </c>
      <c r="F17" s="4" t="n">
        <v>45690</v>
      </c>
      <c r="G17" t="n">
        <v>70</v>
      </c>
    </row>
    <row r="18">
      <c r="A18" t="inlineStr">
        <is>
          <t>CL-116</t>
        </is>
      </c>
      <c r="B18" t="inlineStr">
        <is>
          <t>Manuel Zamora</t>
        </is>
      </c>
      <c r="C18" t="n">
        <v>5516788360</v>
      </c>
      <c r="D18" t="inlineStr">
        <is>
          <t>manuel.zamora@correo.mx</t>
        </is>
      </c>
      <c r="E18" t="inlineStr">
        <is>
          <t>Sur</t>
        </is>
      </c>
      <c r="F18" s="4" t="n">
        <v>45691</v>
      </c>
      <c r="G18" t="n">
        <v>160</v>
      </c>
    </row>
    <row r="19">
      <c r="A19" t="inlineStr">
        <is>
          <t>CL-110</t>
        </is>
      </c>
      <c r="B19" t="inlineStr">
        <is>
          <t>Itzel Sánchez</t>
        </is>
      </c>
      <c r="C19" t="n">
        <v>5582762630</v>
      </c>
      <c r="D19" t="inlineStr">
        <is>
          <t>itzel.sanchez@correo.mx</t>
        </is>
      </c>
      <c r="E19" t="inlineStr">
        <is>
          <t>Sur</t>
        </is>
      </c>
      <c r="F19" s="4" t="n">
        <v>45885</v>
      </c>
      <c r="G19" t="n">
        <v>460</v>
      </c>
    </row>
    <row r="20">
      <c r="A20" t="inlineStr">
        <is>
          <t>CL-117</t>
        </is>
      </c>
      <c r="B20" t="inlineStr">
        <is>
          <t>Natalia Morales</t>
        </is>
      </c>
      <c r="C20" t="n">
        <v>5568348404</v>
      </c>
      <c r="D20" t="inlineStr">
        <is>
          <t>natalia.morales@correo.mx</t>
        </is>
      </c>
      <c r="E20" t="inlineStr">
        <is>
          <t>Sur</t>
        </is>
      </c>
      <c r="F20" s="4" t="n">
        <v>45797</v>
      </c>
      <c r="G20" t="n">
        <v>310</v>
      </c>
    </row>
    <row r="21">
      <c r="A21" t="inlineStr">
        <is>
          <t>CL-118</t>
        </is>
      </c>
      <c r="B21" t="inlineStr">
        <is>
          <t>Paola Estrada</t>
        </is>
      </c>
      <c r="C21" t="n">
        <v>5588881500</v>
      </c>
      <c r="D21" t="inlineStr">
        <is>
          <t>paola.estrada@correo.mx</t>
        </is>
      </c>
      <c r="E21" t="inlineStr">
        <is>
          <t>Norte</t>
        </is>
      </c>
      <c r="F21" s="4" t="n">
        <v>45498</v>
      </c>
      <c r="G21" t="n">
        <v>60</v>
      </c>
    </row>
    <row r="22">
      <c r="A22" t="inlineStr">
        <is>
          <t>CL-119</t>
        </is>
      </c>
      <c r="B22" t="inlineStr">
        <is>
          <t>Brenda García</t>
        </is>
      </c>
      <c r="C22" t="n">
        <v>5535312306</v>
      </c>
      <c r="D22" t="inlineStr">
        <is>
          <t>brenda.garcia@correo.mx</t>
        </is>
      </c>
      <c r="E22" t="inlineStr">
        <is>
          <t>Centro</t>
        </is>
      </c>
      <c r="F22" s="4" t="n">
        <v>45619</v>
      </c>
      <c r="G22" t="n">
        <v>330</v>
      </c>
    </row>
    <row r="23">
      <c r="A23" t="inlineStr">
        <is>
          <t>CL-120</t>
        </is>
      </c>
      <c r="B23" t="inlineStr">
        <is>
          <t>Lucía López</t>
        </is>
      </c>
      <c r="C23" t="n">
        <v>5593841682</v>
      </c>
      <c r="D23" t="inlineStr">
        <is>
          <t>lucia.lopez@correo.mx</t>
        </is>
      </c>
      <c r="E23" t="inlineStr">
        <is>
          <t>Sur</t>
        </is>
      </c>
      <c r="F23" s="4" t="n">
        <v>45604</v>
      </c>
      <c r="G23" t="n">
        <v>370</v>
      </c>
    </row>
    <row r="24">
      <c r="A24" t="inlineStr">
        <is>
          <t>CL-121</t>
        </is>
      </c>
      <c r="B24" t="inlineStr">
        <is>
          <t>Andrés Pérez</t>
        </is>
      </c>
      <c r="C24" t="n">
        <v>5516434407</v>
      </c>
      <c r="D24" t="inlineStr">
        <is>
          <t>andres.perez@correo.mx</t>
        </is>
      </c>
      <c r="E24" t="inlineStr">
        <is>
          <t>Centro</t>
        </is>
      </c>
      <c r="F24" s="4" t="n">
        <v>45574</v>
      </c>
      <c r="G24" t="n">
        <v>0</v>
      </c>
    </row>
    <row r="25">
      <c r="A25" t="inlineStr">
        <is>
          <t>CL-122</t>
        </is>
      </c>
      <c r="B25" t="inlineStr">
        <is>
          <t>Diego Cortés</t>
        </is>
      </c>
      <c r="C25" t="n">
        <v>5568646678</v>
      </c>
      <c r="D25" t="inlineStr">
        <is>
          <t>diego.cortes@correo.mx</t>
        </is>
      </c>
      <c r="E25" t="inlineStr">
        <is>
          <t>Sur</t>
        </is>
      </c>
      <c r="F25" s="4" t="n">
        <v>45716</v>
      </c>
      <c r="G25" t="n">
        <v>350</v>
      </c>
    </row>
    <row r="26">
      <c r="A26" t="inlineStr">
        <is>
          <t>CL-123</t>
        </is>
      </c>
      <c r="B26" t="inlineStr">
        <is>
          <t>Leonardo Navarro</t>
        </is>
      </c>
      <c r="C26" t="n">
        <v>5510686635</v>
      </c>
      <c r="D26" t="inlineStr">
        <is>
          <t>leonardo.navarro@correo.mx</t>
        </is>
      </c>
      <c r="E26" t="inlineStr">
        <is>
          <t>Centro</t>
        </is>
      </c>
      <c r="F26" s="4" t="n">
        <v>45442</v>
      </c>
      <c r="G26" t="n">
        <v>310</v>
      </c>
    </row>
    <row r="27">
      <c r="A27" t="inlineStr">
        <is>
          <t>CL-116</t>
        </is>
      </c>
      <c r="B27" t="inlineStr">
        <is>
          <t>Manuel Zamora</t>
        </is>
      </c>
      <c r="C27" t="n">
        <v>5516788360</v>
      </c>
      <c r="D27" t="inlineStr">
        <is>
          <t>manuel.zamora@correo.mx</t>
        </is>
      </c>
      <c r="E27" t="inlineStr">
        <is>
          <t>Sur</t>
        </is>
      </c>
      <c r="F27" s="4" t="n">
        <v>45691</v>
      </c>
      <c r="G27" t="n">
        <v>160</v>
      </c>
    </row>
    <row r="28">
      <c r="A28" t="inlineStr">
        <is>
          <t>CL-124</t>
        </is>
      </c>
      <c r="B28" t="inlineStr">
        <is>
          <t>Paola Torres</t>
        </is>
      </c>
      <c r="C28" t="n">
        <v>5536070767</v>
      </c>
      <c r="D28" t="inlineStr">
        <is>
          <t>paola.torres@correo.mx</t>
        </is>
      </c>
      <c r="E28" t="inlineStr">
        <is>
          <t>Norte</t>
        </is>
      </c>
      <c r="F28" s="4" t="n">
        <v>45401</v>
      </c>
      <c r="G28" t="n">
        <v>380</v>
      </c>
    </row>
    <row r="29">
      <c r="A29" t="inlineStr">
        <is>
          <t>CL-125</t>
        </is>
      </c>
      <c r="B29" t="inlineStr">
        <is>
          <t>Ricardo Cortés</t>
        </is>
      </c>
      <c r="C29" t="n">
        <v>5569549135</v>
      </c>
      <c r="D29" t="inlineStr">
        <is>
          <t>ricardo.cortes@correo.mx</t>
        </is>
      </c>
      <c r="E29" t="inlineStr">
        <is>
          <t>Norte</t>
        </is>
      </c>
      <c r="F29" s="4" t="n">
        <v>45369</v>
      </c>
      <c r="G29" t="n">
        <v>300</v>
      </c>
    </row>
    <row r="30">
      <c r="A30" t="inlineStr">
        <is>
          <t>CL-126</t>
        </is>
      </c>
      <c r="B30" t="inlineStr">
        <is>
          <t>Daniela Silva</t>
        </is>
      </c>
      <c r="C30" t="n">
        <v>5563584116</v>
      </c>
      <c r="D30" t="inlineStr">
        <is>
          <t>daniela.silva@correo.mx</t>
        </is>
      </c>
      <c r="E30" t="inlineStr">
        <is>
          <t>Centro</t>
        </is>
      </c>
      <c r="F30" s="4" t="n">
        <v>45312</v>
      </c>
      <c r="G30" t="n">
        <v>170</v>
      </c>
    </row>
    <row r="31">
      <c r="A31" t="inlineStr">
        <is>
          <t>CL-127</t>
        </is>
      </c>
      <c r="B31" t="inlineStr">
        <is>
          <t>Arturo Domínguez</t>
        </is>
      </c>
      <c r="C31" t="n">
        <v>5563108952</v>
      </c>
      <c r="D31" t="inlineStr">
        <is>
          <t>arturo.dominguez@correo.mx</t>
        </is>
      </c>
      <c r="E31" t="inlineStr">
        <is>
          <t>Centro</t>
        </is>
      </c>
      <c r="F31" s="4" t="n">
        <v>45744</v>
      </c>
      <c r="G31" t="n">
        <v>480</v>
      </c>
    </row>
    <row r="32">
      <c r="A32" t="inlineStr">
        <is>
          <t>CL-128</t>
        </is>
      </c>
      <c r="B32" t="inlineStr">
        <is>
          <t>Valentina Mejía</t>
        </is>
      </c>
      <c r="C32" t="n">
        <v>5562917226</v>
      </c>
      <c r="D32" t="inlineStr">
        <is>
          <t>valentina.mejia@correo.mx</t>
        </is>
      </c>
      <c r="E32" t="inlineStr">
        <is>
          <t>Sur</t>
        </is>
      </c>
      <c r="F32" s="4" t="n">
        <v>45847</v>
      </c>
      <c r="G32" t="n">
        <v>30</v>
      </c>
    </row>
    <row r="33">
      <c r="A33" t="inlineStr">
        <is>
          <t>CL-129</t>
        </is>
      </c>
      <c r="B33" t="inlineStr">
        <is>
          <t>Renata García</t>
        </is>
      </c>
      <c r="C33" t="n">
        <v>5578704748</v>
      </c>
      <c r="D33" t="inlineStr">
        <is>
          <t>renata.garcia@correo.mx</t>
        </is>
      </c>
      <c r="E33" t="inlineStr">
        <is>
          <t>Norte</t>
        </is>
      </c>
      <c r="F33" s="4" t="n">
        <v>45744</v>
      </c>
      <c r="G33" t="n">
        <v>110</v>
      </c>
    </row>
    <row r="34">
      <c r="A34" t="inlineStr">
        <is>
          <t>CL-130</t>
        </is>
      </c>
      <c r="B34" t="inlineStr">
        <is>
          <t>Raúl Silva</t>
        </is>
      </c>
      <c r="C34" t="n">
        <v>5516098777</v>
      </c>
      <c r="D34" t="inlineStr">
        <is>
          <t>raul.silva@correo.mx</t>
        </is>
      </c>
      <c r="E34" t="inlineStr">
        <is>
          <t>Sur</t>
        </is>
      </c>
      <c r="F34" s="4" t="n">
        <v>45462</v>
      </c>
      <c r="G34" t="n">
        <v>30</v>
      </c>
    </row>
    <row r="35">
      <c r="A35" t="inlineStr">
        <is>
          <t>CL-131</t>
        </is>
      </c>
      <c r="B35" t="inlineStr">
        <is>
          <t>Lucía Cabrera</t>
        </is>
      </c>
      <c r="C35" t="n">
        <v>5579831969</v>
      </c>
      <c r="D35" t="inlineStr">
        <is>
          <t>lucia.cabrera@correo.mx</t>
        </is>
      </c>
      <c r="E35" t="inlineStr">
        <is>
          <t>Centro</t>
        </is>
      </c>
      <c r="F35" s="4" t="n">
        <v>45555</v>
      </c>
      <c r="G35" t="n">
        <v>160</v>
      </c>
    </row>
    <row r="36">
      <c r="A36" t="inlineStr">
        <is>
          <t>CL-123</t>
        </is>
      </c>
      <c r="B36" t="inlineStr">
        <is>
          <t>Leonardo Navarro</t>
        </is>
      </c>
      <c r="C36" t="n">
        <v>5510686635</v>
      </c>
      <c r="D36" t="inlineStr">
        <is>
          <t>leonardo.navarro@correo.mx</t>
        </is>
      </c>
      <c r="E36" t="inlineStr">
        <is>
          <t>Centro</t>
        </is>
      </c>
      <c r="F36" s="4" t="n">
        <v>45442</v>
      </c>
      <c r="G36" t="n">
        <v>310</v>
      </c>
    </row>
    <row r="37">
      <c r="A37" t="inlineStr">
        <is>
          <t>CL-132</t>
        </is>
      </c>
      <c r="B37" t="inlineStr">
        <is>
          <t>Óscar Bravo</t>
        </is>
      </c>
      <c r="C37" t="n">
        <v>5510464113</v>
      </c>
      <c r="D37" t="inlineStr">
        <is>
          <t>oscar.bravo@correo.mx</t>
        </is>
      </c>
      <c r="E37" t="inlineStr">
        <is>
          <t>Centro</t>
        </is>
      </c>
      <c r="F37" s="4" t="n">
        <v>45762</v>
      </c>
      <c r="G37" t="n">
        <v>110</v>
      </c>
    </row>
    <row r="38">
      <c r="A38" t="inlineStr">
        <is>
          <t>CL-128</t>
        </is>
      </c>
      <c r="B38" t="inlineStr">
        <is>
          <t>Valentina Mejía</t>
        </is>
      </c>
      <c r="C38" t="n">
        <v>5562917226</v>
      </c>
      <c r="D38" t="inlineStr">
        <is>
          <t>valentina.mejia@correo.mx</t>
        </is>
      </c>
      <c r="E38" t="inlineStr">
        <is>
          <t>Sur</t>
        </is>
      </c>
      <c r="F38" s="4" t="n">
        <v>45847</v>
      </c>
      <c r="G38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</cols>
  <sheetData>
    <row r="1">
      <c r="A1" s="2" t="inlineStr">
        <is>
          <t>Folio</t>
        </is>
      </c>
      <c r="B1" s="2" t="inlineStr">
        <is>
          <t>Fecha</t>
        </is>
      </c>
      <c r="C1" s="2" t="inlineStr">
        <is>
          <t>Cliente</t>
        </is>
      </c>
      <c r="D1" s="2" t="inlineStr">
        <is>
          <t>Sucursal</t>
        </is>
      </c>
      <c r="E1" s="2" t="inlineStr">
        <is>
          <t>Producto</t>
        </is>
      </c>
      <c r="F1" s="2" t="inlineStr">
        <is>
          <t>Cantidad</t>
        </is>
      </c>
      <c r="G1" s="2" t="inlineStr">
        <is>
          <t>Precio</t>
        </is>
      </c>
      <c r="H1" s="2" t="inlineStr">
        <is>
          <t>Compromiso</t>
        </is>
      </c>
      <c r="I1" s="2" t="inlineStr">
        <is>
          <t>Estado</t>
        </is>
      </c>
    </row>
    <row r="2">
      <c r="A2" t="n">
        <v>2501</v>
      </c>
      <c r="B2" s="4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t="n">
        <v>20</v>
      </c>
      <c r="G2" s="3" t="n">
        <v>52</v>
      </c>
      <c r="H2" s="4" t="n">
        <v>45934</v>
      </c>
      <c r="I2" t="inlineStr">
        <is>
          <t>Entregado</t>
        </is>
      </c>
    </row>
    <row r="3">
      <c r="A3" t="n">
        <v>2502</v>
      </c>
      <c r="B3" s="4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t="n">
        <v>15</v>
      </c>
      <c r="G3" s="3" t="n">
        <v>54</v>
      </c>
      <c r="H3" s="4" t="n">
        <v>45939</v>
      </c>
      <c r="I3" t="inlineStr">
        <is>
          <t>Entregado</t>
        </is>
      </c>
    </row>
    <row r="4">
      <c r="A4" t="n">
        <v>2503</v>
      </c>
      <c r="B4" s="4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t="n">
        <v>24</v>
      </c>
      <c r="G4" s="3" t="n">
        <v>68</v>
      </c>
      <c r="H4" s="4" t="n">
        <v>45934</v>
      </c>
      <c r="I4" t="inlineStr">
        <is>
          <t>Entregado</t>
        </is>
      </c>
    </row>
    <row r="5">
      <c r="A5" t="n">
        <v>2504</v>
      </c>
      <c r="B5" s="4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t="n">
        <v>24</v>
      </c>
      <c r="G5" s="3" t="n">
        <v>85</v>
      </c>
      <c r="H5" s="4" t="n">
        <v>45936</v>
      </c>
      <c r="I5" t="inlineStr">
        <is>
          <t>Entregado</t>
        </is>
      </c>
    </row>
    <row r="6">
      <c r="A6" t="n">
        <v>2505</v>
      </c>
      <c r="B6" s="4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t="n">
        <v>30</v>
      </c>
      <c r="G6" s="3" t="n">
        <v>40</v>
      </c>
      <c r="H6" s="4" t="n">
        <v>45940</v>
      </c>
      <c r="I6" t="inlineStr">
        <is>
          <t>Entregado</t>
        </is>
      </c>
    </row>
    <row r="7">
      <c r="A7" t="n">
        <v>2506</v>
      </c>
      <c r="B7" s="4" t="n">
        <v>45935</v>
      </c>
      <c r="C7" t="inlineStr">
        <is>
          <t>Notaría 14</t>
        </is>
      </c>
      <c r="D7" t="inlineStr">
        <is>
          <t>Sur</t>
        </is>
      </c>
      <c r="E7" t="inlineStr">
        <is>
          <t>Té verde</t>
        </is>
      </c>
      <c r="F7" t="n">
        <v>30</v>
      </c>
      <c r="G7" s="3" t="n">
        <v>38</v>
      </c>
      <c r="H7" s="4" t="n">
        <v>45943</v>
      </c>
      <c r="I7" t="inlineStr">
        <is>
          <t>Entregado</t>
        </is>
      </c>
    </row>
    <row r="8">
      <c r="A8" t="n">
        <v>2507</v>
      </c>
      <c r="B8" s="4" t="n">
        <v>45936</v>
      </c>
      <c r="C8" t="inlineStr">
        <is>
          <t>Hospital San Rafael</t>
        </is>
      </c>
      <c r="D8" t="inlineStr">
        <is>
          <t>Sur</t>
        </is>
      </c>
      <c r="E8" t="inlineStr">
        <is>
          <t>Sándwich de pavo</t>
        </is>
      </c>
      <c r="F8" t="n">
        <v>30</v>
      </c>
      <c r="G8" s="3" t="n">
        <v>78</v>
      </c>
      <c r="H8" s="4" t="n">
        <v>45938</v>
      </c>
      <c r="I8" t="inlineStr">
        <is>
          <t>Entregado</t>
        </is>
      </c>
    </row>
    <row r="9">
      <c r="A9" t="n">
        <v>2508</v>
      </c>
      <c r="B9" s="4" t="n">
        <v>45936</v>
      </c>
      <c r="C9" t="inlineStr">
        <is>
          <t>Coworking Nodo</t>
        </is>
      </c>
      <c r="D9" t="inlineStr">
        <is>
          <t>Centro</t>
        </is>
      </c>
      <c r="E9" t="inlineStr">
        <is>
          <t>Muffin de mora</t>
        </is>
      </c>
      <c r="F9" t="n">
        <v>12</v>
      </c>
      <c r="G9" s="3" t="n">
        <v>35</v>
      </c>
      <c r="H9" s="4" t="n">
        <v>45944</v>
      </c>
      <c r="I9" t="inlineStr">
        <is>
          <t>Entregado</t>
        </is>
      </c>
    </row>
    <row r="10">
      <c r="A10" t="n">
        <v>2509</v>
      </c>
      <c r="B10" s="4" t="n">
        <v>45936</v>
      </c>
      <c r="C10" t="inlineStr">
        <is>
          <t>Coworking Nodo</t>
        </is>
      </c>
      <c r="D10" t="inlineStr">
        <is>
          <t>Sur</t>
        </is>
      </c>
      <c r="E10" t="inlineStr">
        <is>
          <t>Moka</t>
        </is>
      </c>
      <c r="F10" t="n">
        <v>24</v>
      </c>
      <c r="G10" s="3" t="n">
        <v>60</v>
      </c>
      <c r="H10" s="4" t="n">
        <v>45939</v>
      </c>
      <c r="I10" t="inlineStr">
        <is>
          <t>Entregado</t>
        </is>
      </c>
    </row>
    <row r="11">
      <c r="A11" t="n">
        <v>2510</v>
      </c>
      <c r="B11" s="4" t="n">
        <v>45937</v>
      </c>
      <c r="C11" t="inlineStr">
        <is>
          <t>Clínica Dental Sonrisa</t>
        </is>
      </c>
      <c r="D11" t="inlineStr">
        <is>
          <t>Norte</t>
        </is>
      </c>
      <c r="E11" t="inlineStr">
        <is>
          <t>Café de olla</t>
        </is>
      </c>
      <c r="F11" t="n">
        <v>36</v>
      </c>
      <c r="G11" s="3" t="n">
        <v>38</v>
      </c>
      <c r="H11" s="4" t="n">
        <v>45940</v>
      </c>
      <c r="I11" t="inlineStr">
        <is>
          <t>Pendiente</t>
        </is>
      </c>
    </row>
    <row r="12">
      <c r="A12" t="n">
        <v>2511</v>
      </c>
      <c r="B12" s="4" t="n">
        <v>45937</v>
      </c>
      <c r="C12" t="inlineStr">
        <is>
          <t>Clínica Dental Sonrisa</t>
        </is>
      </c>
      <c r="D12" t="inlineStr">
        <is>
          <t>Sur</t>
        </is>
      </c>
      <c r="E12" t="inlineStr">
        <is>
          <t>Latte</t>
        </is>
      </c>
      <c r="F12" t="n">
        <v>15</v>
      </c>
      <c r="G12" s="3" t="n">
        <v>55</v>
      </c>
      <c r="H12" s="4" t="n">
        <v>45940</v>
      </c>
      <c r="I12" t="inlineStr">
        <is>
          <t>Entregado</t>
        </is>
      </c>
    </row>
    <row r="13">
      <c r="A13" t="n">
        <v>2512</v>
      </c>
      <c r="B13" s="4" t="n">
        <v>45940</v>
      </c>
      <c r="C13" t="inlineStr">
        <is>
          <t>Despacho Luna &amp; Asoc.</t>
        </is>
      </c>
      <c r="D13" t="inlineStr">
        <is>
          <t>Centro</t>
        </is>
      </c>
      <c r="E13" t="inlineStr">
        <is>
          <t>Cold brew</t>
        </is>
      </c>
      <c r="F13" t="n">
        <v>12</v>
      </c>
      <c r="G13" s="3" t="n">
        <v>58</v>
      </c>
      <c r="H13" s="4" t="n">
        <v>45944</v>
      </c>
      <c r="I13" t="inlineStr">
        <is>
          <t>Entregado</t>
        </is>
      </c>
    </row>
    <row r="14">
      <c r="A14" t="n">
        <v>2513</v>
      </c>
      <c r="B14" s="4" t="n">
        <v>45940</v>
      </c>
      <c r="C14" t="inlineStr">
        <is>
          <t>Despacho Luna &amp; Asoc.</t>
        </is>
      </c>
      <c r="D14" t="inlineStr">
        <is>
          <t>Norte</t>
        </is>
      </c>
      <c r="E14" t="inlineStr">
        <is>
          <t>Latte helado</t>
        </is>
      </c>
      <c r="F14" t="n">
        <v>60</v>
      </c>
      <c r="G14" s="3" t="n">
        <v>58</v>
      </c>
      <c r="H14" s="4" t="n">
        <v>45942</v>
      </c>
      <c r="I14" t="inlineStr">
        <is>
          <t>Pendiente</t>
        </is>
      </c>
    </row>
    <row r="15">
      <c r="A15" t="n">
        <v>2514</v>
      </c>
      <c r="B15" s="4" t="n">
        <v>45942</v>
      </c>
      <c r="C15" t="inlineStr">
        <is>
          <t>Colegio Montebello</t>
        </is>
      </c>
      <c r="D15" t="inlineStr">
        <is>
          <t>Sur</t>
        </is>
      </c>
      <c r="E15" t="inlineStr">
        <is>
          <t>Sándwich de pavo</t>
        </is>
      </c>
      <c r="F15" t="n">
        <v>40</v>
      </c>
      <c r="G15" s="3" t="n">
        <v>78</v>
      </c>
      <c r="H15" s="4" t="n">
        <v>45949</v>
      </c>
      <c r="I15" t="inlineStr">
        <is>
          <t>Entregado</t>
        </is>
      </c>
    </row>
    <row r="16">
      <c r="A16" t="n">
        <v>2515</v>
      </c>
      <c r="B16" s="4" t="n">
        <v>45943</v>
      </c>
      <c r="C16" t="inlineStr">
        <is>
          <t>Hospital San Rafael</t>
        </is>
      </c>
      <c r="D16" t="inlineStr">
        <is>
          <t>Norte</t>
        </is>
      </c>
      <c r="E16" t="inlineStr">
        <is>
          <t>Bagel con queso crema</t>
        </is>
      </c>
      <c r="F16" t="n">
        <v>60</v>
      </c>
      <c r="G16" s="3" t="n">
        <v>45</v>
      </c>
      <c r="H16" s="4" t="n">
        <v>45946</v>
      </c>
      <c r="I16" t="inlineStr">
        <is>
          <t>Pendiente</t>
        </is>
      </c>
    </row>
    <row r="17">
      <c r="A17" t="n">
        <v>2516</v>
      </c>
      <c r="B17" s="4" t="n">
        <v>45944</v>
      </c>
      <c r="C17" t="inlineStr">
        <is>
          <t>Agencia Pixel</t>
        </is>
      </c>
      <c r="D17" t="inlineStr">
        <is>
          <t>Sur</t>
        </is>
      </c>
      <c r="E17" t="inlineStr">
        <is>
          <t>Brownie</t>
        </is>
      </c>
      <c r="F17" t="n">
        <v>50</v>
      </c>
      <c r="G17" s="3" t="n">
        <v>40</v>
      </c>
      <c r="H17" s="4" t="n">
        <v>45952</v>
      </c>
      <c r="I17" t="inlineStr">
        <is>
          <t>Entregado</t>
        </is>
      </c>
    </row>
    <row r="18">
      <c r="A18" t="n">
        <v>2517</v>
      </c>
      <c r="B18" s="4" t="n">
        <v>45944</v>
      </c>
      <c r="C18" t="inlineStr">
        <is>
          <t>Notaría 14</t>
        </is>
      </c>
      <c r="D18" t="inlineStr">
        <is>
          <t>Centro</t>
        </is>
      </c>
      <c r="E18" t="inlineStr">
        <is>
          <t>Brownie</t>
        </is>
      </c>
      <c r="F18" t="n">
        <v>50</v>
      </c>
      <c r="G18" s="3" t="n">
        <v>40</v>
      </c>
      <c r="H18" s="4" t="n">
        <v>45952</v>
      </c>
      <c r="I18" t="inlineStr">
        <is>
          <t>Entregado</t>
        </is>
      </c>
    </row>
    <row r="19">
      <c r="A19" t="n">
        <v>2518</v>
      </c>
      <c r="B19" s="4" t="n">
        <v>45945</v>
      </c>
      <c r="C19" t="inlineStr">
        <is>
          <t>Inmobiliaria Cumbres</t>
        </is>
      </c>
      <c r="D19" t="inlineStr">
        <is>
          <t>Centro</t>
        </is>
      </c>
      <c r="E19" t="inlineStr">
        <is>
          <t>Pay de queso</t>
        </is>
      </c>
      <c r="F19" t="n">
        <v>50</v>
      </c>
      <c r="G19" s="3" t="n">
        <v>55</v>
      </c>
      <c r="H19" s="4" t="n">
        <v>45951</v>
      </c>
      <c r="I19" t="inlineStr">
        <is>
          <t>Entregado</t>
        </is>
      </c>
    </row>
    <row r="20">
      <c r="A20" t="n">
        <v>2519</v>
      </c>
      <c r="B20" s="4" t="n">
        <v>45947</v>
      </c>
      <c r="C20" t="inlineStr">
        <is>
          <t>Agencia Pixel</t>
        </is>
      </c>
      <c r="D20" t="inlineStr">
        <is>
          <t>Centro</t>
        </is>
      </c>
      <c r="E20" t="inlineStr">
        <is>
          <t>Espresso</t>
        </is>
      </c>
      <c r="F20" t="n">
        <v>15</v>
      </c>
      <c r="G20" s="3" t="n">
        <v>35</v>
      </c>
      <c r="H20" s="4" t="n">
        <v>45950</v>
      </c>
      <c r="I20" t="inlineStr">
        <is>
          <t>Entregado</t>
        </is>
      </c>
    </row>
    <row r="21">
      <c r="A21" t="n">
        <v>2520</v>
      </c>
      <c r="B21" s="4" t="n">
        <v>45947</v>
      </c>
      <c r="C21" t="inlineStr">
        <is>
          <t>Notaría 14</t>
        </is>
      </c>
      <c r="D21" t="inlineStr">
        <is>
          <t>Norte</t>
        </is>
      </c>
      <c r="E21" t="inlineStr">
        <is>
          <t>Té verde</t>
        </is>
      </c>
      <c r="F21" t="n">
        <v>50</v>
      </c>
      <c r="G21" s="3" t="n">
        <v>38</v>
      </c>
      <c r="H21" s="4" t="n">
        <v>45953</v>
      </c>
      <c r="I21" t="inlineStr">
        <is>
          <t>Entregado</t>
        </is>
      </c>
    </row>
    <row r="22">
      <c r="A22" t="n">
        <v>2521</v>
      </c>
      <c r="B22" s="4" t="n">
        <v>45947</v>
      </c>
      <c r="C22" t="inlineStr">
        <is>
          <t>Gimnasio Fénix</t>
        </is>
      </c>
      <c r="D22" t="inlineStr">
        <is>
          <t>Centro</t>
        </is>
      </c>
      <c r="E22" t="inlineStr">
        <is>
          <t>Sándwich de pavo</t>
        </is>
      </c>
      <c r="F22" t="n">
        <v>30</v>
      </c>
      <c r="G22" s="3" t="n">
        <v>78</v>
      </c>
      <c r="H22" s="4" t="n">
        <v>45954</v>
      </c>
      <c r="I22" t="inlineStr">
        <is>
          <t>Entregado</t>
        </is>
      </c>
    </row>
    <row r="23">
      <c r="A23" t="n">
        <v>2522</v>
      </c>
      <c r="B23" s="4" t="n">
        <v>45949</v>
      </c>
      <c r="C23" t="inlineStr">
        <is>
          <t>Despacho Luna &amp; Asoc.</t>
        </is>
      </c>
      <c r="D23" t="inlineStr">
        <is>
          <t>Norte</t>
        </is>
      </c>
      <c r="E23" t="inlineStr">
        <is>
          <t>Galleta de avena</t>
        </is>
      </c>
      <c r="F23" t="n">
        <v>60</v>
      </c>
      <c r="G23" s="3" t="n">
        <v>25</v>
      </c>
      <c r="H23" s="4" t="n">
        <v>45952</v>
      </c>
      <c r="I23" t="inlineStr">
        <is>
          <t>Pendiente</t>
        </is>
      </c>
    </row>
    <row r="24">
      <c r="A24" t="n">
        <v>2523</v>
      </c>
      <c r="B24" s="4" t="n">
        <v>45950</v>
      </c>
      <c r="C24" t="inlineStr">
        <is>
          <t>Inmobiliaria Cumbres</t>
        </is>
      </c>
      <c r="D24" t="inlineStr">
        <is>
          <t>Sur</t>
        </is>
      </c>
      <c r="E24" t="inlineStr">
        <is>
          <t>Capuchino</t>
        </is>
      </c>
      <c r="F24" t="n">
        <v>15</v>
      </c>
      <c r="G24" s="3" t="n">
        <v>52</v>
      </c>
      <c r="H24" s="4" t="n">
        <v>45953</v>
      </c>
      <c r="I24" t="inlineStr">
        <is>
          <t>Entregado</t>
        </is>
      </c>
    </row>
    <row r="25">
      <c r="A25" t="n">
        <v>2524</v>
      </c>
      <c r="B25" s="4" t="n">
        <v>45952</v>
      </c>
      <c r="C25" t="inlineStr">
        <is>
          <t>Notaría 14</t>
        </is>
      </c>
      <c r="D25" t="inlineStr">
        <is>
          <t>Norte</t>
        </is>
      </c>
      <c r="E25" t="inlineStr">
        <is>
          <t>Sándwich de pavo</t>
        </is>
      </c>
      <c r="F25" t="n">
        <v>36</v>
      </c>
      <c r="G25" s="3" t="n">
        <v>78</v>
      </c>
      <c r="H25" s="4" t="n">
        <v>45956</v>
      </c>
      <c r="I25" t="inlineStr">
        <is>
          <t>Entregado</t>
        </is>
      </c>
    </row>
    <row r="26">
      <c r="A26" t="n">
        <v>2525</v>
      </c>
      <c r="B26" s="4" t="n">
        <v>45952</v>
      </c>
      <c r="C26" t="inlineStr">
        <is>
          <t>Notaría 14</t>
        </is>
      </c>
      <c r="D26" t="inlineStr">
        <is>
          <t>Centro</t>
        </is>
      </c>
      <c r="E26" t="inlineStr">
        <is>
          <t>Latte helado</t>
        </is>
      </c>
      <c r="F26" t="n">
        <v>24</v>
      </c>
      <c r="G26" s="3" t="n">
        <v>58</v>
      </c>
      <c r="H26" s="4" t="n">
        <v>45960</v>
      </c>
      <c r="I26" t="inlineStr">
        <is>
          <t>Entregado</t>
        </is>
      </c>
    </row>
    <row r="27">
      <c r="A27" t="n">
        <v>2526</v>
      </c>
      <c r="B27" s="4" t="n">
        <v>45952</v>
      </c>
      <c r="C27" t="inlineStr">
        <is>
          <t>Notaría 14</t>
        </is>
      </c>
      <c r="D27" t="inlineStr">
        <is>
          <t>Sur</t>
        </is>
      </c>
      <c r="E27" t="inlineStr">
        <is>
          <t>Pay de queso</t>
        </is>
      </c>
      <c r="F27" t="n">
        <v>20</v>
      </c>
      <c r="G27" s="3" t="n">
        <v>55</v>
      </c>
      <c r="H27" s="4" t="n">
        <v>45955</v>
      </c>
      <c r="I27" t="inlineStr">
        <is>
          <t>Entregado</t>
        </is>
      </c>
    </row>
    <row r="28">
      <c r="A28" t="n">
        <v>2527</v>
      </c>
      <c r="B28" s="4" t="n">
        <v>45955</v>
      </c>
      <c r="C28" t="inlineStr">
        <is>
          <t>Gimnasio Fénix</t>
        </is>
      </c>
      <c r="D28" t="inlineStr">
        <is>
          <t>Norte</t>
        </is>
      </c>
      <c r="E28" t="inlineStr">
        <is>
          <t>Chai latte</t>
        </is>
      </c>
      <c r="F28" t="n">
        <v>30</v>
      </c>
      <c r="G28" s="3" t="n">
        <v>54</v>
      </c>
      <c r="H28" s="4" t="n">
        <v>45959</v>
      </c>
      <c r="I28" t="inlineStr">
        <is>
          <t>Entregado</t>
        </is>
      </c>
    </row>
    <row r="29">
      <c r="A29" t="n">
        <v>2528</v>
      </c>
      <c r="B29" s="4" t="n">
        <v>45957</v>
      </c>
      <c r="C29" t="inlineStr">
        <is>
          <t>Coworking Nodo</t>
        </is>
      </c>
      <c r="D29" t="inlineStr">
        <is>
          <t>Centro</t>
        </is>
      </c>
      <c r="E29" t="inlineStr">
        <is>
          <t>Galleta de avena</t>
        </is>
      </c>
      <c r="F29" t="n">
        <v>20</v>
      </c>
      <c r="G29" s="3" t="n">
        <v>25</v>
      </c>
      <c r="H29" s="4" t="n">
        <v>45961</v>
      </c>
      <c r="I29" t="inlineStr">
        <is>
          <t>Entregado</t>
        </is>
      </c>
    </row>
    <row r="30">
      <c r="A30" t="n">
        <v>2529</v>
      </c>
      <c r="B30" s="4" t="n">
        <v>45957</v>
      </c>
      <c r="C30" t="inlineStr">
        <is>
          <t>Coworking Nodo</t>
        </is>
      </c>
      <c r="D30" t="inlineStr">
        <is>
          <t>Centro</t>
        </is>
      </c>
      <c r="E30" t="inlineStr">
        <is>
          <t>Brownie</t>
        </is>
      </c>
      <c r="F30" t="n">
        <v>30</v>
      </c>
      <c r="G30" s="3" t="n">
        <v>40</v>
      </c>
      <c r="H30" s="4" t="n">
        <v>45963</v>
      </c>
      <c r="I30" t="inlineStr">
        <is>
          <t>Entregado</t>
        </is>
      </c>
    </row>
    <row r="31">
      <c r="A31" t="n">
        <v>2530</v>
      </c>
      <c r="B31" s="4" t="n">
        <v>45958</v>
      </c>
      <c r="C31" t="inlineStr">
        <is>
          <t>Despacho Luna &amp; Asoc.</t>
        </is>
      </c>
      <c r="D31" t="inlineStr">
        <is>
          <t>Sur</t>
        </is>
      </c>
      <c r="E31" t="inlineStr">
        <is>
          <t>Chai latte</t>
        </is>
      </c>
      <c r="F31" t="n">
        <v>15</v>
      </c>
      <c r="G31" s="3" t="n">
        <v>54</v>
      </c>
      <c r="H31" s="4" t="n">
        <v>45961</v>
      </c>
      <c r="I31" t="inlineStr">
        <is>
          <t>Entregado</t>
        </is>
      </c>
    </row>
    <row r="32">
      <c r="A32" t="n">
        <v>2531</v>
      </c>
      <c r="B32" s="4" t="n">
        <v>45962</v>
      </c>
      <c r="C32" t="inlineStr">
        <is>
          <t>Universidad del Norte</t>
        </is>
      </c>
      <c r="D32" t="inlineStr">
        <is>
          <t>Sur</t>
        </is>
      </c>
      <c r="E32" t="inlineStr">
        <is>
          <t>Galleta de avena</t>
        </is>
      </c>
      <c r="F32" t="n">
        <v>40</v>
      </c>
      <c r="G32" s="3" t="n">
        <v>25</v>
      </c>
      <c r="H32" s="4" t="n">
        <v>45967</v>
      </c>
      <c r="I32" t="inlineStr">
        <is>
          <t>Entregado</t>
        </is>
      </c>
    </row>
    <row r="33">
      <c r="A33" t="n">
        <v>2532</v>
      </c>
      <c r="B33" s="4" t="n">
        <v>45963</v>
      </c>
      <c r="C33" t="inlineStr">
        <is>
          <t>Hospital San Rafael</t>
        </is>
      </c>
      <c r="D33" t="inlineStr">
        <is>
          <t>Centro</t>
        </is>
      </c>
      <c r="E33" t="inlineStr">
        <is>
          <t>Frappé moka</t>
        </is>
      </c>
      <c r="F33" t="n">
        <v>50</v>
      </c>
      <c r="G33" s="3" t="n">
        <v>68</v>
      </c>
      <c r="H33" s="4" t="n">
        <v>45971</v>
      </c>
      <c r="I33" t="inlineStr">
        <is>
          <t>Entregado</t>
        </is>
      </c>
    </row>
    <row r="34">
      <c r="A34" t="n">
        <v>2533</v>
      </c>
      <c r="B34" s="4" t="n">
        <v>45964</v>
      </c>
      <c r="C34" t="inlineStr">
        <is>
          <t>Notaría 14</t>
        </is>
      </c>
      <c r="D34" t="inlineStr">
        <is>
          <t>Norte</t>
        </is>
      </c>
      <c r="E34" t="inlineStr">
        <is>
          <t>Latte helado</t>
        </is>
      </c>
      <c r="F34" t="n">
        <v>20</v>
      </c>
      <c r="G34" s="3" t="n">
        <v>58</v>
      </c>
      <c r="H34" s="4" t="n">
        <v>45967</v>
      </c>
      <c r="I34" t="inlineStr">
        <is>
          <t>Pendiente</t>
        </is>
      </c>
    </row>
    <row r="35">
      <c r="A35" t="n">
        <v>2534</v>
      </c>
      <c r="B35" s="4" t="n">
        <v>45966</v>
      </c>
      <c r="C35" t="inlineStr">
        <is>
          <t>Hospital San Rafael</t>
        </is>
      </c>
      <c r="D35" t="inlineStr">
        <is>
          <t>Norte</t>
        </is>
      </c>
      <c r="E35" t="inlineStr">
        <is>
          <t>Espresso</t>
        </is>
      </c>
      <c r="F35" t="n">
        <v>24</v>
      </c>
      <c r="G35" s="3" t="n">
        <v>35</v>
      </c>
      <c r="H35" s="4" t="n">
        <v>45971</v>
      </c>
      <c r="I35" t="inlineStr">
        <is>
          <t>Entregado</t>
        </is>
      </c>
    </row>
    <row r="36">
      <c r="A36" t="n">
        <v>2535</v>
      </c>
      <c r="B36" s="4" t="n">
        <v>45968</v>
      </c>
      <c r="C36" t="inlineStr">
        <is>
          <t>Notaría 14</t>
        </is>
      </c>
      <c r="D36" t="inlineStr">
        <is>
          <t>Sur</t>
        </is>
      </c>
      <c r="E36" t="inlineStr">
        <is>
          <t>Chai latte</t>
        </is>
      </c>
      <c r="F36" t="n">
        <v>20</v>
      </c>
      <c r="G36" s="3" t="n">
        <v>54</v>
      </c>
      <c r="H36" s="4" t="n">
        <v>45972</v>
      </c>
      <c r="I36" t="inlineStr">
        <is>
          <t>Entregado</t>
        </is>
      </c>
    </row>
    <row r="37">
      <c r="A37" t="n">
        <v>2536</v>
      </c>
      <c r="B37" s="4" t="n">
        <v>45970</v>
      </c>
      <c r="C37" t="inlineStr">
        <is>
          <t>Universidad del Norte</t>
        </is>
      </c>
      <c r="D37" t="inlineStr">
        <is>
          <t>Centro</t>
        </is>
      </c>
      <c r="E37" t="inlineStr">
        <is>
          <t>Latte helado</t>
        </is>
      </c>
      <c r="F37" t="n">
        <v>60</v>
      </c>
      <c r="G37" s="3" t="n">
        <v>58</v>
      </c>
      <c r="H37" s="4" t="n">
        <v>45976</v>
      </c>
      <c r="I37" t="inlineStr">
        <is>
          <t>Pendiente</t>
        </is>
      </c>
    </row>
    <row r="38">
      <c r="A38" t="n">
        <v>2537</v>
      </c>
      <c r="B38" s="4" t="n">
        <v>45970</v>
      </c>
      <c r="C38" t="inlineStr">
        <is>
          <t>Gimnasio Fénix</t>
        </is>
      </c>
      <c r="D38" t="inlineStr">
        <is>
          <t>Norte</t>
        </is>
      </c>
      <c r="E38" t="inlineStr">
        <is>
          <t>Capuchino</t>
        </is>
      </c>
      <c r="F38" t="n">
        <v>24</v>
      </c>
      <c r="G38" s="3" t="n">
        <v>52</v>
      </c>
      <c r="H38" s="4" t="n">
        <v>45976</v>
      </c>
      <c r="I38" t="inlineStr">
        <is>
          <t>Pendiente</t>
        </is>
      </c>
    </row>
    <row r="39">
      <c r="A39" t="n">
        <v>2538</v>
      </c>
      <c r="B39" s="4" t="n">
        <v>45970</v>
      </c>
      <c r="C39" t="inlineStr">
        <is>
          <t>Gimnasio Fénix</t>
        </is>
      </c>
      <c r="D39" t="inlineStr">
        <is>
          <t>Norte</t>
        </is>
      </c>
      <c r="E39" t="inlineStr">
        <is>
          <t>Café de olla</t>
        </is>
      </c>
      <c r="F39" t="n">
        <v>12</v>
      </c>
      <c r="G39" s="3" t="n">
        <v>38</v>
      </c>
      <c r="H39" s="4" t="n">
        <v>45976</v>
      </c>
      <c r="I39" t="inlineStr">
        <is>
          <t>Pendiente</t>
        </is>
      </c>
    </row>
    <row r="40">
      <c r="A40" t="n">
        <v>2539</v>
      </c>
      <c r="B40" s="4" t="n">
        <v>45972</v>
      </c>
      <c r="C40" t="inlineStr">
        <is>
          <t>Coworking Nodo</t>
        </is>
      </c>
      <c r="D40" t="inlineStr">
        <is>
          <t>Norte</t>
        </is>
      </c>
      <c r="E40" t="inlineStr">
        <is>
          <t>Latte</t>
        </is>
      </c>
      <c r="F40" t="n">
        <v>12</v>
      </c>
      <c r="G40" s="3" t="n">
        <v>55</v>
      </c>
      <c r="H40" s="4" t="n">
        <v>45980</v>
      </c>
      <c r="I40" t="inlineStr">
        <is>
          <t>Pendiente</t>
        </is>
      </c>
    </row>
    <row r="41">
      <c r="A41" t="n">
        <v>2540</v>
      </c>
      <c r="B41" s="4" t="n">
        <v>45972</v>
      </c>
      <c r="C41" t="inlineStr">
        <is>
          <t>Inmobiliaria Cumbres</t>
        </is>
      </c>
      <c r="D41" t="inlineStr">
        <is>
          <t>Sur</t>
        </is>
      </c>
      <c r="E41" t="inlineStr">
        <is>
          <t>Café de olla</t>
        </is>
      </c>
      <c r="F41" t="n">
        <v>30</v>
      </c>
      <c r="G41" s="3" t="n">
        <v>38</v>
      </c>
      <c r="H41" s="4" t="n">
        <v>45976</v>
      </c>
      <c r="I41" t="inlineStr">
        <is>
          <t>Pendiente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  <col width="9" customWidth="1" min="5" max="5"/>
    <col width="14" customWidth="1" min="6" max="6"/>
    <col width="18" customWidth="1" min="7" max="7"/>
    <col width="11" customWidth="1" min="8" max="8"/>
  </cols>
  <sheetData>
    <row r="1">
      <c r="A1" s="5" t="inlineStr">
        <is>
          <t>Insumo</t>
        </is>
      </c>
      <c r="B1" s="5" t="inlineStr">
        <is>
          <t>Unidad</t>
        </is>
      </c>
      <c r="C1" s="5" t="inlineStr">
        <is>
          <t>Existencia</t>
        </is>
      </c>
      <c r="D1" s="5" t="inlineStr">
        <is>
          <t>Mínimo</t>
        </is>
      </c>
      <c r="E1" s="5" t="inlineStr">
        <is>
          <t>Máximo</t>
        </is>
      </c>
      <c r="F1" s="5" t="inlineStr">
        <is>
          <t>Costo unitario</t>
        </is>
      </c>
      <c r="G1" s="5" t="inlineStr">
        <is>
          <t>Proveedor</t>
        </is>
      </c>
      <c r="H1" s="5" t="inlineStr">
        <is>
          <t>Cobertura</t>
        </is>
      </c>
    </row>
    <row r="2">
      <c r="A2" t="inlineStr">
        <is>
          <t>Café en grano (blend)</t>
        </is>
      </c>
      <c r="B2" t="inlineStr">
        <is>
          <t>kg</t>
        </is>
      </c>
      <c r="C2" t="n">
        <v>18</v>
      </c>
      <c r="D2" t="n">
        <v>25</v>
      </c>
      <c r="E2" t="n">
        <v>80</v>
      </c>
      <c r="F2" s="6" t="n">
        <v>420</v>
      </c>
      <c r="G2" t="inlineStr">
        <is>
          <t>Finca El Mirador</t>
        </is>
      </c>
      <c r="H2" s="7">
        <f>C2/D2</f>
        <v/>
      </c>
    </row>
    <row r="3">
      <c r="A3" t="inlineStr">
        <is>
          <t>Café en grano (origen)</t>
        </is>
      </c>
      <c r="B3" t="inlineStr">
        <is>
          <t>kg</t>
        </is>
      </c>
      <c r="C3" t="n">
        <v>32</v>
      </c>
      <c r="D3" t="n">
        <v>15</v>
      </c>
      <c r="E3" t="n">
        <v>50</v>
      </c>
      <c r="F3" s="6" t="n">
        <v>560</v>
      </c>
      <c r="G3" t="inlineStr">
        <is>
          <t>Finca El Mirador</t>
        </is>
      </c>
      <c r="H3" s="7">
        <f>C3/D3</f>
        <v/>
      </c>
    </row>
    <row r="4">
      <c r="A4" t="inlineStr">
        <is>
          <t>Leche entera</t>
        </is>
      </c>
      <c r="B4" t="inlineStr">
        <is>
          <t>L</t>
        </is>
      </c>
      <c r="C4" t="n">
        <v>140</v>
      </c>
      <c r="D4" t="n">
        <v>120</v>
      </c>
      <c r="E4" t="n">
        <v>300</v>
      </c>
      <c r="F4" s="6" t="n">
        <v>24</v>
      </c>
      <c r="G4" t="inlineStr">
        <is>
          <t>Lácteos del Valle</t>
        </is>
      </c>
      <c r="H4" s="7">
        <f>C4/D4</f>
        <v/>
      </c>
    </row>
    <row r="5">
      <c r="A5" t="inlineStr">
        <is>
          <t>Leche deslactosada</t>
        </is>
      </c>
      <c r="B5" t="inlineStr">
        <is>
          <t>L</t>
        </is>
      </c>
      <c r="C5" t="n">
        <v>46</v>
      </c>
      <c r="D5" t="n">
        <v>60</v>
      </c>
      <c r="E5" t="n">
        <v>150</v>
      </c>
      <c r="F5" s="6" t="n">
        <v>27</v>
      </c>
      <c r="G5" t="inlineStr">
        <is>
          <t>Lácteos del Valle</t>
        </is>
      </c>
      <c r="H5" s="7">
        <f>C5/D5</f>
        <v/>
      </c>
    </row>
    <row r="6">
      <c r="A6" t="inlineStr">
        <is>
          <t>Bebida de almendra</t>
        </is>
      </c>
      <c r="B6" t="inlineStr">
        <is>
          <t>L</t>
        </is>
      </c>
      <c r="C6" t="n">
        <v>30</v>
      </c>
      <c r="D6" t="n">
        <v>20</v>
      </c>
      <c r="E6" t="n">
        <v>60</v>
      </c>
      <c r="F6" s="6" t="n">
        <v>58</v>
      </c>
      <c r="G6" t="inlineStr">
        <is>
          <t>Natura Verde</t>
        </is>
      </c>
      <c r="H6" s="7">
        <f>C6/D6</f>
        <v/>
      </c>
    </row>
    <row r="7">
      <c r="A7" t="inlineStr">
        <is>
          <t>Chocolate en polvo</t>
        </is>
      </c>
      <c r="B7" t="inlineStr">
        <is>
          <t>kg</t>
        </is>
      </c>
      <c r="C7" t="n">
        <v>9</v>
      </c>
      <c r="D7" t="n">
        <v>8</v>
      </c>
      <c r="E7" t="n">
        <v>25</v>
      </c>
      <c r="F7" s="6" t="n">
        <v>190</v>
      </c>
      <c r="G7" t="inlineStr">
        <is>
          <t>Cacao Real</t>
        </is>
      </c>
      <c r="H7" s="7">
        <f>C7/D7</f>
        <v/>
      </c>
    </row>
    <row r="8">
      <c r="A8" t="inlineStr">
        <is>
          <t>Jarabe de vainilla</t>
        </is>
      </c>
      <c r="B8" t="inlineStr">
        <is>
          <t>botella</t>
        </is>
      </c>
      <c r="C8" t="n">
        <v>4</v>
      </c>
      <c r="D8" t="n">
        <v>6</v>
      </c>
      <c r="E8" t="n">
        <v>20</v>
      </c>
      <c r="F8" s="6" t="n">
        <v>145</v>
      </c>
      <c r="G8" t="inlineStr">
        <is>
          <t>Sabores MX</t>
        </is>
      </c>
      <c r="H8" s="7">
        <f>C8/D8</f>
        <v/>
      </c>
    </row>
    <row r="9">
      <c r="A9" t="inlineStr">
        <is>
          <t>Jarabe de caramelo</t>
        </is>
      </c>
      <c r="B9" t="inlineStr">
        <is>
          <t>botella</t>
        </is>
      </c>
      <c r="C9" t="n">
        <v>11</v>
      </c>
      <c r="D9" t="n">
        <v>6</v>
      </c>
      <c r="E9" t="n">
        <v>20</v>
      </c>
      <c r="F9" s="6" t="n">
        <v>145</v>
      </c>
      <c r="G9" t="inlineStr">
        <is>
          <t>Sabores MX</t>
        </is>
      </c>
      <c r="H9" s="7">
        <f>C9/D9</f>
        <v/>
      </c>
    </row>
    <row r="10">
      <c r="A10" t="inlineStr">
        <is>
          <t>Té chai (concentrado)</t>
        </is>
      </c>
      <c r="B10" t="inlineStr">
        <is>
          <t>L</t>
        </is>
      </c>
      <c r="C10" t="n">
        <v>7</v>
      </c>
      <c r="D10" t="n">
        <v>5</v>
      </c>
      <c r="E10" t="n">
        <v>18</v>
      </c>
      <c r="F10" s="6" t="n">
        <v>210</v>
      </c>
      <c r="G10" t="inlineStr">
        <is>
          <t>Té y Más</t>
        </is>
      </c>
      <c r="H10" s="7">
        <f>C10/D10</f>
        <v/>
      </c>
    </row>
    <row r="11">
      <c r="A11" t="inlineStr">
        <is>
          <t>Té verde</t>
        </is>
      </c>
      <c r="B11" t="inlineStr">
        <is>
          <t>caja</t>
        </is>
      </c>
      <c r="C11" t="n">
        <v>15</v>
      </c>
      <c r="D11" t="n">
        <v>6</v>
      </c>
      <c r="E11" t="n">
        <v>20</v>
      </c>
      <c r="F11" s="6" t="n">
        <v>95</v>
      </c>
      <c r="G11" t="inlineStr">
        <is>
          <t>Té y Más</t>
        </is>
      </c>
      <c r="H11" s="7">
        <f>C11/D11</f>
        <v/>
      </c>
    </row>
    <row r="12">
      <c r="A12" t="inlineStr">
        <is>
          <t>Vasos 12 oz</t>
        </is>
      </c>
      <c r="B12" t="inlineStr">
        <is>
          <t>pieza</t>
        </is>
      </c>
      <c r="C12" t="n">
        <v>850</v>
      </c>
      <c r="D12" t="n">
        <v>1000</v>
      </c>
      <c r="E12" t="n">
        <v>4000</v>
      </c>
      <c r="F12" s="6" t="n">
        <v>1.8</v>
      </c>
      <c r="G12" t="inlineStr">
        <is>
          <t>EcoEmpaque</t>
        </is>
      </c>
      <c r="H12" s="7">
        <f>C12/D12</f>
        <v/>
      </c>
    </row>
    <row r="13">
      <c r="A13" t="inlineStr">
        <is>
          <t>Vasos 16 oz</t>
        </is>
      </c>
      <c r="B13" t="inlineStr">
        <is>
          <t>pieza</t>
        </is>
      </c>
      <c r="C13" t="n">
        <v>2300</v>
      </c>
      <c r="D13" t="n">
        <v>1000</v>
      </c>
      <c r="E13" t="n">
        <v>4000</v>
      </c>
      <c r="F13" s="6" t="n">
        <v>2.1</v>
      </c>
      <c r="G13" t="inlineStr">
        <is>
          <t>EcoEmpaque</t>
        </is>
      </c>
      <c r="H13" s="7">
        <f>C13/D13</f>
        <v/>
      </c>
    </row>
    <row r="14">
      <c r="A14" t="inlineStr">
        <is>
          <t>Tapas</t>
        </is>
      </c>
      <c r="B14" t="inlineStr">
        <is>
          <t>pieza</t>
        </is>
      </c>
      <c r="C14" t="n">
        <v>2900</v>
      </c>
      <c r="D14" t="n">
        <v>1500</v>
      </c>
      <c r="E14" t="n">
        <v>6000</v>
      </c>
      <c r="F14" s="6" t="n">
        <v>0.9</v>
      </c>
      <c r="G14" t="inlineStr">
        <is>
          <t>EcoEmpaque</t>
        </is>
      </c>
      <c r="H14" s="7">
        <f>C14/D14</f>
        <v/>
      </c>
    </row>
    <row r="15">
      <c r="A15" t="inlineStr">
        <is>
          <t>Servilletas</t>
        </is>
      </c>
      <c r="B15" t="inlineStr">
        <is>
          <t>paquete</t>
        </is>
      </c>
      <c r="C15" t="n">
        <v>22</v>
      </c>
      <c r="D15" t="n">
        <v>20</v>
      </c>
      <c r="E15" t="n">
        <v>80</v>
      </c>
      <c r="F15" s="6" t="n">
        <v>38</v>
      </c>
      <c r="G15" t="inlineStr">
        <is>
          <t>EcoEmpaque</t>
        </is>
      </c>
      <c r="H15" s="7">
        <f>C15/D15</f>
        <v/>
      </c>
    </row>
    <row r="16">
      <c r="A16" t="inlineStr">
        <is>
          <t>Croissant congelado</t>
        </is>
      </c>
      <c r="B16" t="inlineStr">
        <is>
          <t>pieza</t>
        </is>
      </c>
      <c r="C16" t="n">
        <v>64</v>
      </c>
      <c r="D16" t="n">
        <v>80</v>
      </c>
      <c r="E16" t="n">
        <v>240</v>
      </c>
      <c r="F16" s="6" t="n">
        <v>9.5</v>
      </c>
      <c r="G16" t="inlineStr">
        <is>
          <t>Panificadora Sol</t>
        </is>
      </c>
      <c r="H16" s="7">
        <f>C16/D16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Presupuesto de gastos · 1.er semestre 2026</t>
        </is>
      </c>
    </row>
    <row r="3">
      <c r="A3" s="2" t="inlineStr">
        <is>
          <t>Concepto</t>
        </is>
      </c>
      <c r="B3" s="2" t="inlineStr">
        <is>
          <t>Ene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Abr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Total</t>
        </is>
      </c>
    </row>
    <row r="4">
      <c r="A4" t="inlineStr">
        <is>
          <t>Renta</t>
        </is>
      </c>
      <c r="B4" s="3" t="n">
        <v>28000</v>
      </c>
      <c r="C4" s="3" t="n">
        <v>28000</v>
      </c>
      <c r="D4" s="3" t="n">
        <v>28000</v>
      </c>
      <c r="E4" s="3" t="n">
        <v>28000</v>
      </c>
      <c r="F4" s="3" t="n">
        <v>28000</v>
      </c>
      <c r="G4" s="3" t="n">
        <v>28000</v>
      </c>
      <c r="H4" s="3">
        <f>SUM(B4:G4)</f>
        <v/>
      </c>
    </row>
    <row r="5">
      <c r="A5" t="inlineStr">
        <is>
          <t>Sueldos</t>
        </is>
      </c>
      <c r="B5" s="3" t="n">
        <v>96000</v>
      </c>
      <c r="C5" s="3" t="n">
        <v>96000</v>
      </c>
      <c r="D5" s="3" t="n">
        <v>96000</v>
      </c>
      <c r="E5" s="3" t="n">
        <v>98500</v>
      </c>
      <c r="F5" s="3" t="n">
        <v>98500</v>
      </c>
      <c r="G5" s="3" t="n">
        <v>98500</v>
      </c>
      <c r="H5" s="3">
        <f>SUM(B5:G5)</f>
        <v/>
      </c>
    </row>
    <row r="6">
      <c r="A6" t="inlineStr">
        <is>
          <t>Insumos</t>
        </is>
      </c>
      <c r="B6" s="3" t="n">
        <v>61000</v>
      </c>
      <c r="C6" s="3" t="n">
        <v>58500</v>
      </c>
      <c r="D6" s="3" t="n">
        <v>63200</v>
      </c>
      <c r="E6" s="3" t="n">
        <v>66800</v>
      </c>
      <c r="F6" s="3" t="n">
        <v>70400</v>
      </c>
      <c r="G6" s="3" t="n">
        <v>72100</v>
      </c>
      <c r="H6" s="3">
        <f>SUM(B6:G6)</f>
        <v/>
      </c>
    </row>
    <row r="7">
      <c r="A7" t="inlineStr">
        <is>
          <t>Luz</t>
        </is>
      </c>
      <c r="B7" s="3" t="n">
        <v>5200</v>
      </c>
      <c r="C7" s="3" t="n">
        <v>5000</v>
      </c>
      <c r="D7" s="3" t="n">
        <v>5400</v>
      </c>
      <c r="E7" s="3" t="n">
        <v>6100</v>
      </c>
      <c r="F7" s="3" t="n">
        <v>6900</v>
      </c>
      <c r="G7" s="3" t="n">
        <v>7300</v>
      </c>
      <c r="H7" s="3">
        <f>SUM(B7:G7)</f>
        <v/>
      </c>
    </row>
    <row r="8">
      <c r="A8" t="inlineStr">
        <is>
          <t>Agua</t>
        </is>
      </c>
      <c r="B8" s="3" t="n">
        <v>1800</v>
      </c>
      <c r="C8" s="3" t="n">
        <v>1750</v>
      </c>
      <c r="D8" s="3" t="n">
        <v>1900</v>
      </c>
      <c r="E8" s="3" t="n">
        <v>2050</v>
      </c>
      <c r="F8" s="3" t="n">
        <v>2200</v>
      </c>
      <c r="G8" s="3" t="n">
        <v>2300</v>
      </c>
      <c r="H8" s="3">
        <f>SUM(B8:G8)</f>
        <v/>
      </c>
    </row>
    <row r="9">
      <c r="A9" t="inlineStr">
        <is>
          <t>Internet y teléfono</t>
        </is>
      </c>
      <c r="B9" s="3" t="n">
        <v>1650</v>
      </c>
      <c r="C9" s="3" t="n">
        <v>1650</v>
      </c>
      <c r="D9" s="3" t="n">
        <v>1650</v>
      </c>
      <c r="E9" s="3" t="n">
        <v>1650</v>
      </c>
      <c r="F9" s="3" t="n">
        <v>1650</v>
      </c>
      <c r="G9" s="3" t="n">
        <v>1650</v>
      </c>
      <c r="H9" s="3">
        <f>SUM(B9:G9)</f>
        <v/>
      </c>
    </row>
    <row r="10">
      <c r="A10" t="inlineStr">
        <is>
          <t>Publicidad</t>
        </is>
      </c>
      <c r="B10" s="3" t="n">
        <v>4500</v>
      </c>
      <c r="C10" s="3" t="n">
        <v>3000</v>
      </c>
      <c r="D10" s="3" t="n">
        <v>6000</v>
      </c>
      <c r="E10" s="3" t="n">
        <v>3000</v>
      </c>
      <c r="F10" s="3" t="n">
        <v>8000</v>
      </c>
      <c r="G10" s="3" t="n">
        <v>3000</v>
      </c>
      <c r="H10" s="3">
        <f>SUM(B10:G10)</f>
        <v/>
      </c>
    </row>
    <row r="11">
      <c r="A11" t="inlineStr">
        <is>
          <t>Mantenimiento</t>
        </is>
      </c>
      <c r="B11" s="3" t="n">
        <v>2500</v>
      </c>
      <c r="C11" s="3" t="n">
        <v>0</v>
      </c>
      <c r="D11" s="3" t="n">
        <v>3800</v>
      </c>
      <c r="E11" s="3" t="n">
        <v>0</v>
      </c>
      <c r="F11" s="3" t="n">
        <v>2500</v>
      </c>
      <c r="G11" s="3" t="n">
        <v>1200</v>
      </c>
      <c r="H11" s="3">
        <f>SUM(B11:G11)</f>
        <v/>
      </c>
    </row>
    <row r="12">
      <c r="A12" s="5" t="inlineStr">
        <is>
          <t>Total</t>
        </is>
      </c>
      <c r="B12" s="8">
        <f>SUM(B4:B11)</f>
        <v/>
      </c>
      <c r="C12" s="8">
        <f>SUM(C4:C11)</f>
        <v/>
      </c>
      <c r="D12" s="8">
        <f>SUM(D4:D11)</f>
        <v/>
      </c>
      <c r="E12" s="8">
        <f>SUM(E4:E11)</f>
        <v/>
      </c>
      <c r="F12" s="8">
        <f>SUM(F4:F11)</f>
        <v/>
      </c>
      <c r="G12" s="8">
        <f>SUM(G4:G11)</f>
        <v/>
      </c>
      <c r="H12" s="8">
        <f>SUM(H4:H11)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2026-10-17T00:09:15Z</dcterms:created>
  <dcterms:modified xsi:type="dcterms:W3CDTF">2026-10-17T00:09:15Z</dcterms:modified>
</cp:coreProperties>
</file>