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em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de la semana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'Semana'!K3</f>
            </strRef>
          </tx>
          <spPr>
            <a:ln>
              <a:prstDash val="solid"/>
            </a:ln>
          </spPr>
          <cat>
            <numRef>
              <f>'Semana'!$A$4:$A$11</f>
            </numRef>
          </cat>
          <val>
            <numRef>
              <f>'Semana'!$K$4:$K$11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Reto integrador básico · Reporte semanal de ventas</t>
        </is>
      </c>
    </row>
    <row r="2">
      <c r="A2" s="2" t="n"/>
    </row>
    <row r="3">
      <c r="A3" s="2" t="inlineStr">
        <is>
          <t>Reporte semanal de la sucursal Sur: cálculos, formato, gráfica e impresión.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J4:J11 unidades de la semana (suma de Lun a Dom); K4:K11 ventas (precio × unidades); J12 y K12 totales; N4 promedio de ventas por producto; N5 venta mayor.</t>
        </is>
      </c>
    </row>
    <row r="7">
      <c r="A7" s="2" t="inlineStr">
        <is>
          <t>2. Formato: título destacado, encabezados A3:K3 en negrita con relleno, precio y ventas en moneda, bordes en A3:K12.</t>
        </is>
      </c>
    </row>
    <row r="8">
      <c r="A8" s="2" t="inlineStr">
        <is>
          <t>3. Gráfico de columnas o barras de las ventas por producto, con título.</t>
        </is>
      </c>
    </row>
    <row r="9">
      <c r="A9" s="2" t="inlineStr">
        <is>
          <t>4. Impresión horizontal ajustada a una página; exporta a PDF y sube ambos archivos.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13" max="13"/>
  </cols>
  <sheetData>
    <row r="1">
      <c r="A1" s="5" t="inlineStr">
        <is>
          <t>Reporte semanal · Sucursal Sur · Semana 42</t>
        </is>
      </c>
    </row>
    <row r="3">
      <c r="A3" s="6" t="inlineStr">
        <is>
          <t>Producto</t>
        </is>
      </c>
      <c r="B3" s="6" t="inlineStr">
        <is>
          <t>Precio</t>
        </is>
      </c>
      <c r="C3" s="6" t="inlineStr">
        <is>
          <t>Lun</t>
        </is>
      </c>
      <c r="D3" s="6" t="inlineStr">
        <is>
          <t>Mar</t>
        </is>
      </c>
      <c r="E3" s="6" t="inlineStr">
        <is>
          <t>Mié</t>
        </is>
      </c>
      <c r="F3" s="6" t="inlineStr">
        <is>
          <t>Jue</t>
        </is>
      </c>
      <c r="G3" s="6" t="inlineStr">
        <is>
          <t>Vie</t>
        </is>
      </c>
      <c r="H3" s="6" t="inlineStr">
        <is>
          <t>Sáb</t>
        </is>
      </c>
      <c r="I3" s="6" t="inlineStr">
        <is>
          <t>Dom</t>
        </is>
      </c>
      <c r="J3" s="6" t="inlineStr">
        <is>
          <t>Unidades</t>
        </is>
      </c>
      <c r="K3" s="6" t="inlineStr">
        <is>
          <t>Ventas</t>
        </is>
      </c>
    </row>
    <row r="4">
      <c r="A4" s="7" t="inlineStr">
        <is>
          <t>Americano</t>
        </is>
      </c>
      <c r="B4" s="8" t="n">
        <v>40</v>
      </c>
      <c r="C4" s="7" t="n">
        <v>33</v>
      </c>
      <c r="D4" s="7" t="n">
        <v>31</v>
      </c>
      <c r="E4" s="7" t="n">
        <v>31</v>
      </c>
      <c r="F4" s="7" t="n">
        <v>40</v>
      </c>
      <c r="G4" s="7" t="n">
        <v>39</v>
      </c>
      <c r="H4" s="7" t="n">
        <v>58</v>
      </c>
      <c r="I4" s="7" t="n">
        <v>44</v>
      </c>
      <c r="J4" s="7">
        <f>SUM(C4:I4)</f>
        <v/>
      </c>
      <c r="K4" s="8">
        <f>B4*J4</f>
        <v/>
      </c>
      <c r="M4" t="inlineStr">
        <is>
          <t>Promedio por producto</t>
        </is>
      </c>
      <c r="N4" s="9">
        <f>AVERAGE(K4:K11)</f>
        <v/>
      </c>
    </row>
    <row r="5">
      <c r="A5" s="7" t="inlineStr">
        <is>
          <t>Capuchino</t>
        </is>
      </c>
      <c r="B5" s="8" t="n">
        <v>52</v>
      </c>
      <c r="C5" s="7" t="n">
        <v>40</v>
      </c>
      <c r="D5" s="7" t="n">
        <v>30</v>
      </c>
      <c r="E5" s="7" t="n">
        <v>37</v>
      </c>
      <c r="F5" s="7" t="n">
        <v>36</v>
      </c>
      <c r="G5" s="7" t="n">
        <v>46</v>
      </c>
      <c r="H5" s="7" t="n">
        <v>61</v>
      </c>
      <c r="I5" s="7" t="n">
        <v>59</v>
      </c>
      <c r="J5" s="7">
        <f>SUM(C5:I5)</f>
        <v/>
      </c>
      <c r="K5" s="8">
        <f>B5*J5</f>
        <v/>
      </c>
      <c r="M5" t="inlineStr">
        <is>
          <t>Venta mayor</t>
        </is>
      </c>
      <c r="N5" s="9">
        <f>MAX(K4:K11)</f>
        <v/>
      </c>
    </row>
    <row r="6">
      <c r="A6" s="7" t="inlineStr">
        <is>
          <t>Latte</t>
        </is>
      </c>
      <c r="B6" s="8" t="n">
        <v>55</v>
      </c>
      <c r="C6" s="7" t="n">
        <v>37</v>
      </c>
      <c r="D6" s="7" t="n">
        <v>39</v>
      </c>
      <c r="E6" s="7" t="n">
        <v>38</v>
      </c>
      <c r="F6" s="7" t="n">
        <v>35</v>
      </c>
      <c r="G6" s="7" t="n">
        <v>42</v>
      </c>
      <c r="H6" s="7" t="n">
        <v>60</v>
      </c>
      <c r="I6" s="7" t="n">
        <v>57</v>
      </c>
      <c r="J6" s="7">
        <f>SUM(C6:I6)</f>
        <v/>
      </c>
      <c r="K6" s="8">
        <f>B6*J6</f>
        <v/>
      </c>
    </row>
    <row r="7">
      <c r="A7" s="7" t="inlineStr">
        <is>
          <t>Moka</t>
        </is>
      </c>
      <c r="B7" s="8" t="n">
        <v>60</v>
      </c>
      <c r="C7" s="7" t="n">
        <v>28</v>
      </c>
      <c r="D7" s="7" t="n">
        <v>24</v>
      </c>
      <c r="E7" s="7" t="n">
        <v>24</v>
      </c>
      <c r="F7" s="7" t="n">
        <v>31</v>
      </c>
      <c r="G7" s="7" t="n">
        <v>32</v>
      </c>
      <c r="H7" s="7" t="n">
        <v>42</v>
      </c>
      <c r="I7" s="7" t="n">
        <v>33</v>
      </c>
      <c r="J7" s="7">
        <f>SUM(C7:I7)</f>
        <v/>
      </c>
      <c r="K7" s="8">
        <f>B7*J7</f>
        <v/>
      </c>
    </row>
    <row r="8">
      <c r="A8" s="7" t="inlineStr">
        <is>
          <t>Frappé moka</t>
        </is>
      </c>
      <c r="B8" s="8" t="n">
        <v>68</v>
      </c>
      <c r="C8" s="7" t="n">
        <v>27</v>
      </c>
      <c r="D8" s="7" t="n">
        <v>29</v>
      </c>
      <c r="E8" s="7" t="n">
        <v>32</v>
      </c>
      <c r="F8" s="7" t="n">
        <v>30</v>
      </c>
      <c r="G8" s="7" t="n">
        <v>32</v>
      </c>
      <c r="H8" s="7" t="n">
        <v>40</v>
      </c>
      <c r="I8" s="7" t="n">
        <v>32</v>
      </c>
      <c r="J8" s="7">
        <f>SUM(C8:I8)</f>
        <v/>
      </c>
      <c r="K8" s="8">
        <f>B8*J8</f>
        <v/>
      </c>
    </row>
    <row r="9">
      <c r="A9" s="7" t="inlineStr">
        <is>
          <t>Croissant</t>
        </is>
      </c>
      <c r="B9" s="8" t="n">
        <v>38</v>
      </c>
      <c r="C9" s="7" t="n">
        <v>24</v>
      </c>
      <c r="D9" s="7" t="n">
        <v>31</v>
      </c>
      <c r="E9" s="7" t="n">
        <v>32</v>
      </c>
      <c r="F9" s="7" t="n">
        <v>29</v>
      </c>
      <c r="G9" s="7" t="n">
        <v>42</v>
      </c>
      <c r="H9" s="7" t="n">
        <v>42</v>
      </c>
      <c r="I9" s="7" t="n">
        <v>37</v>
      </c>
      <c r="J9" s="7">
        <f>SUM(C9:I9)</f>
        <v/>
      </c>
      <c r="K9" s="8">
        <f>B9*J9</f>
        <v/>
      </c>
    </row>
    <row r="10">
      <c r="A10" s="7" t="inlineStr">
        <is>
          <t>Concha</t>
        </is>
      </c>
      <c r="B10" s="8" t="n">
        <v>22</v>
      </c>
      <c r="C10" s="7" t="n">
        <v>33</v>
      </c>
      <c r="D10" s="7" t="n">
        <v>37</v>
      </c>
      <c r="E10" s="7" t="n">
        <v>39</v>
      </c>
      <c r="F10" s="7" t="n">
        <v>36</v>
      </c>
      <c r="G10" s="7" t="n">
        <v>35</v>
      </c>
      <c r="H10" s="7" t="n">
        <v>48</v>
      </c>
      <c r="I10" s="7" t="n">
        <v>43</v>
      </c>
      <c r="J10" s="7">
        <f>SUM(C10:I10)</f>
        <v/>
      </c>
      <c r="K10" s="8">
        <f>B10*J10</f>
        <v/>
      </c>
    </row>
    <row r="11">
      <c r="A11" s="7" t="inlineStr">
        <is>
          <t>Brownie</t>
        </is>
      </c>
      <c r="B11" s="8" t="n">
        <v>40</v>
      </c>
      <c r="C11" s="7" t="n">
        <v>23</v>
      </c>
      <c r="D11" s="7" t="n">
        <v>21</v>
      </c>
      <c r="E11" s="7" t="n">
        <v>23</v>
      </c>
      <c r="F11" s="7" t="n">
        <v>30</v>
      </c>
      <c r="G11" s="7" t="n">
        <v>35</v>
      </c>
      <c r="H11" s="7" t="n">
        <v>39</v>
      </c>
      <c r="I11" s="7" t="n">
        <v>29</v>
      </c>
      <c r="J11" s="7">
        <f>SUM(C11:I11)</f>
        <v/>
      </c>
      <c r="K11" s="8">
        <f>B11*J11</f>
        <v/>
      </c>
    </row>
    <row r="12">
      <c r="A12" s="7" t="inlineStr">
        <is>
          <t>Total</t>
        </is>
      </c>
      <c r="B12" s="8" t="n"/>
      <c r="C12" s="7" t="n"/>
      <c r="D12" s="7" t="n"/>
      <c r="E12" s="7" t="n"/>
      <c r="F12" s="7" t="n"/>
      <c r="G12" s="7" t="n"/>
      <c r="H12" s="7" t="n"/>
      <c r="I12" s="7" t="n"/>
      <c r="J12" s="7">
        <f>SUM(J4:J11)</f>
        <v/>
      </c>
      <c r="K12" s="8">
        <f>SUM(K4:K11)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