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15 · Cazador de errores</t>
        </is>
      </c>
    </row>
    <row r="2">
      <c r="A2" s="2" t="n"/>
    </row>
    <row r="3">
      <c r="A3" s="2" t="inlineStr">
        <is>
          <t>El resumen de la sucursal Norte tiene ocho errores sembrados.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Usa Comprobación de errores, Rastrear precedentes y Evaluar fórmula.</t>
        </is>
      </c>
    </row>
    <row r="7">
      <c r="A7" s="2" t="inlineStr">
        <is>
          <t>2. Corrige los 8 errores (unidades, referencia eliminada, nombre de función, circular, división entre cero, referencia sin fijar, código buscado y texto sin comillas).</t>
        </is>
      </c>
    </row>
    <row r="8">
      <c r="A8" s="2" t="inlineStr">
        <is>
          <t>3. Nivel Experto: usa SI.ERROR solo donde el error es esperado.</t>
        </is>
      </c>
    </row>
    <row r="9">
      <c r="A9" s="2" t="n"/>
    </row>
    <row r="10">
      <c r="A10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6" max="6"/>
    <col width="11" customWidth="1" min="7" max="7"/>
    <col width="10" customWidth="1" min="8" max="8"/>
    <col width="13" customWidth="1" min="9" max="9"/>
    <col width="3" customWidth="1" min="10" max="10"/>
    <col width="16" customWidth="1" min="11" max="11"/>
    <col width="13" customWidth="1" min="12" max="12"/>
  </cols>
  <sheetData>
    <row r="1">
      <c r="A1" s="5" t="inlineStr">
        <is>
          <t>Resumen de productos · Norte, octubre</t>
        </is>
      </c>
    </row>
    <row r="3">
      <c r="A3" s="6" t="inlineStr">
        <is>
          <t>Código</t>
        </is>
      </c>
      <c r="B3" s="6" t="inlineStr">
        <is>
          <t>Producto</t>
        </is>
      </c>
      <c r="C3" s="6" t="inlineStr">
        <is>
          <t>Precio</t>
        </is>
      </c>
      <c r="D3" s="6" t="inlineStr">
        <is>
          <t>Costo</t>
        </is>
      </c>
      <c r="E3" s="6" t="inlineStr">
        <is>
          <t>Unidades</t>
        </is>
      </c>
      <c r="F3" s="6" t="inlineStr">
        <is>
          <t>Ventas</t>
        </is>
      </c>
      <c r="G3" s="6" t="inlineStr">
        <is>
          <t>Utilidad</t>
        </is>
      </c>
      <c r="H3" s="6" t="inlineStr">
        <is>
          <t>Margen</t>
        </is>
      </c>
      <c r="I3" s="6" t="inlineStr">
        <is>
          <t>Participación</t>
        </is>
      </c>
      <c r="K3" s="7" t="inlineStr">
        <is>
          <t>Código buscado</t>
        </is>
      </c>
      <c r="L3" t="inlineStr">
        <is>
          <t>CAF-04</t>
        </is>
      </c>
    </row>
    <row r="4">
      <c r="A4" t="inlineStr">
        <is>
          <t>CAF-002</t>
        </is>
      </c>
      <c r="B4" t="inlineStr">
        <is>
          <t>Americano</t>
        </is>
      </c>
      <c r="C4" s="8" t="n">
        <v>40</v>
      </c>
      <c r="D4" s="8" t="n">
        <v>9</v>
      </c>
      <c r="E4" t="n">
        <v>190</v>
      </c>
      <c r="F4" s="8">
        <f>C4*E4</f>
        <v/>
      </c>
      <c r="G4" s="8">
        <f>F4-D4*E4</f>
        <v/>
      </c>
      <c r="H4" s="9">
        <f>G4/F4</f>
        <v/>
      </c>
      <c r="I4" s="9">
        <f>F4/F12</f>
        <v/>
      </c>
      <c r="K4" s="7" t="inlineStr">
        <is>
          <t>Producto</t>
        </is>
      </c>
      <c r="L4">
        <f>_xlfn.XLOOKUP(L3,A4:A11,B4:B11)</f>
        <v/>
      </c>
    </row>
    <row r="5">
      <c r="A5" t="inlineStr">
        <is>
          <t>CAF-003</t>
        </is>
      </c>
      <c r="B5" t="inlineStr">
        <is>
          <t>Capuchino</t>
        </is>
      </c>
      <c r="C5" s="8" t="n">
        <v>52</v>
      </c>
      <c r="D5" s="8" t="n">
        <v>13</v>
      </c>
      <c r="E5" t="n">
        <v>160</v>
      </c>
      <c r="F5" s="8">
        <f>C5*E5</f>
        <v/>
      </c>
      <c r="G5" s="8">
        <f>F5-D5*E5</f>
        <v/>
      </c>
      <c r="H5" s="9">
        <f>G5/F5</f>
        <v/>
      </c>
      <c r="I5" s="9">
        <f>F5/F13</f>
        <v/>
      </c>
      <c r="K5" s="7" t="inlineStr">
        <is>
          <t>Precio</t>
        </is>
      </c>
      <c r="L5">
        <f>_xlfn.XLOOKUP(L3,A4:A11,C4:C11)</f>
        <v/>
      </c>
    </row>
    <row r="6">
      <c r="A6" t="inlineStr">
        <is>
          <t>CAF-004</t>
        </is>
      </c>
      <c r="B6" t="inlineStr">
        <is>
          <t>Latte</t>
        </is>
      </c>
      <c r="C6" s="8" t="n">
        <v>55</v>
      </c>
      <c r="D6" s="8" t="n">
        <v>14</v>
      </c>
      <c r="E6" t="inlineStr">
        <is>
          <t>1O8</t>
        </is>
      </c>
      <c r="F6" s="8">
        <f>C6*E6</f>
        <v/>
      </c>
      <c r="G6" s="8">
        <f>F6-D6*E6</f>
        <v/>
      </c>
      <c r="H6" s="9">
        <f>G6/F6</f>
        <v/>
      </c>
      <c r="I6" s="9">
        <f>F6/F14</f>
        <v/>
      </c>
      <c r="K6" s="7" t="inlineStr">
        <is>
          <t>Diagnóstico</t>
        </is>
      </c>
      <c r="L6">
        <f>IF(H12&gt;0.6,Rentable,"Revisar")</f>
        <v/>
      </c>
    </row>
    <row r="7">
      <c r="A7" t="inlineStr">
        <is>
          <t>CAF-005</t>
        </is>
      </c>
      <c r="B7" t="inlineStr">
        <is>
          <t>Moka</t>
        </is>
      </c>
      <c r="C7" s="8" t="n">
        <v>60</v>
      </c>
      <c r="D7" s="8" t="n">
        <v>16</v>
      </c>
      <c r="E7" t="n">
        <v>88</v>
      </c>
      <c r="F7" s="8">
        <f>C7*E7</f>
        <v/>
      </c>
      <c r="G7" s="8">
        <f>F7-#REF!*E7</f>
        <v/>
      </c>
      <c r="H7" s="9">
        <f>G7/F7</f>
        <v/>
      </c>
      <c r="I7" s="9">
        <f>F7/F15</f>
        <v/>
      </c>
    </row>
    <row r="8">
      <c r="A8" t="inlineStr">
        <is>
          <t>FRI-001</t>
        </is>
      </c>
      <c r="B8" t="inlineStr">
        <is>
          <t>Frappé moka</t>
        </is>
      </c>
      <c r="C8" s="8" t="n">
        <v>68</v>
      </c>
      <c r="D8" s="8" t="n">
        <v>18</v>
      </c>
      <c r="E8" t="n">
        <v>175</v>
      </c>
      <c r="F8" s="8">
        <f>C8*E8</f>
        <v/>
      </c>
      <c r="G8" s="8">
        <f>F8-D8*E8</f>
        <v/>
      </c>
      <c r="H8" s="9">
        <f>G8/F8</f>
        <v/>
      </c>
      <c r="I8" s="9">
        <f>F8/F16</f>
        <v/>
      </c>
    </row>
    <row r="9">
      <c r="A9" t="inlineStr">
        <is>
          <t>PAN-001</t>
        </is>
      </c>
      <c r="B9" t="inlineStr">
        <is>
          <t>Croissant</t>
        </is>
      </c>
      <c r="C9" s="8" t="n">
        <v>38</v>
      </c>
      <c r="D9" s="8" t="n">
        <v>12</v>
      </c>
      <c r="E9" t="n">
        <v>0</v>
      </c>
      <c r="F9" s="8">
        <f>C9*E9</f>
        <v/>
      </c>
      <c r="G9" s="8">
        <f>F9-D9*E9</f>
        <v/>
      </c>
      <c r="H9" s="9">
        <f>G9/F9</f>
        <v/>
      </c>
      <c r="I9" s="9">
        <f>F9/F17</f>
        <v/>
      </c>
    </row>
    <row r="10">
      <c r="A10" t="inlineStr">
        <is>
          <t>PAN-002</t>
        </is>
      </c>
      <c r="B10" t="inlineStr">
        <is>
          <t>Concha</t>
        </is>
      </c>
      <c r="C10" s="8" t="n">
        <v>22</v>
      </c>
      <c r="D10" s="8" t="n">
        <v>6</v>
      </c>
      <c r="E10" t="n">
        <v>290</v>
      </c>
      <c r="F10" s="8">
        <f>C10*E10</f>
        <v/>
      </c>
      <c r="G10" s="8">
        <f>F10-D10*E10</f>
        <v/>
      </c>
      <c r="H10" s="9">
        <f>G10/F10</f>
        <v/>
      </c>
      <c r="I10" s="9">
        <f>F10/F18</f>
        <v/>
      </c>
    </row>
    <row r="11">
      <c r="A11" t="inlineStr">
        <is>
          <t>POS-001</t>
        </is>
      </c>
      <c r="B11" t="inlineStr">
        <is>
          <t>Pay de queso</t>
        </is>
      </c>
      <c r="C11" s="8" t="n">
        <v>55</v>
      </c>
      <c r="D11" s="8" t="n">
        <v>17</v>
      </c>
      <c r="E11" t="n">
        <v>66</v>
      </c>
      <c r="F11" s="8">
        <f>C11*E11</f>
        <v/>
      </c>
      <c r="G11" s="8">
        <f>F11-D11*E11</f>
        <v/>
      </c>
      <c r="H11" s="9">
        <f>G11/F11</f>
        <v/>
      </c>
      <c r="I11" s="9">
        <f>F11/F19</f>
        <v/>
      </c>
    </row>
    <row r="12">
      <c r="A12" t="inlineStr">
        <is>
          <t>Total</t>
        </is>
      </c>
      <c r="F12" s="8">
        <f>SUMAR(F4:F11)</f>
        <v/>
      </c>
      <c r="G12" s="8">
        <f>SUM(G4:G12)</f>
        <v/>
      </c>
      <c r="H12" s="9">
        <f>G12/F12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