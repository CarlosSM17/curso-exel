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Farma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10 · Semáforo de la farmacia de Norte</t>
        </is>
      </c>
    </row>
    <row r="2">
      <c r="A2" s="2" t="n"/>
    </row>
    <row r="3">
      <c r="A3" s="2" t="inlineStr">
        <is>
          <t>Mismo inventario con las existencias de la farmacia de Norte.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C2:C16: relleno rojo cuando la existencia sea menor que el mínimo de su fila (regla «Es menor que» con =$D2).</t>
        </is>
      </c>
    </row>
    <row r="7">
      <c r="A7" s="2" t="inlineStr">
        <is>
          <t>2. H2:H16: conjunto de iconos (semáforo).</t>
        </is>
      </c>
    </row>
    <row r="8">
      <c r="A8" s="2" t="inlineStr">
        <is>
          <t>3. F2:F16: barras de datos.</t>
        </is>
      </c>
    </row>
    <row r="9">
      <c r="A9" s="2" t="inlineStr">
        <is>
          <t>4. A1:H1: estilo de celda Encabezado 1.</t>
        </is>
      </c>
    </row>
    <row r="10">
      <c r="A10" s="2" t="inlineStr">
        <is>
          <t>5. Nivel Experto: amarillo entre el mínimo y 1.3 veces el mínimo; cambia el tema del libro.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9" customWidth="1" min="4" max="4"/>
    <col width="9" customWidth="1" min="5" max="5"/>
    <col width="14" customWidth="1" min="6" max="6"/>
    <col width="30" customWidth="1" min="7" max="7"/>
    <col width="11" customWidth="1" min="8" max="8"/>
  </cols>
  <sheetData>
    <row r="1">
      <c r="A1" s="5" t="inlineStr">
        <is>
          <t>Medicamento</t>
        </is>
      </c>
      <c r="B1" s="5" t="inlineStr">
        <is>
          <t>Unidad</t>
        </is>
      </c>
      <c r="C1" s="5" t="inlineStr">
        <is>
          <t>Existencia</t>
        </is>
      </c>
      <c r="D1" s="5" t="inlineStr">
        <is>
          <t>Mínimo</t>
        </is>
      </c>
      <c r="E1" s="5" t="inlineStr">
        <is>
          <t>Máximo</t>
        </is>
      </c>
      <c r="F1" s="5" t="inlineStr">
        <is>
          <t>Costo unitario</t>
        </is>
      </c>
      <c r="G1" s="5" t="inlineStr">
        <is>
          <t>Proveedor</t>
        </is>
      </c>
      <c r="H1" s="5" t="inlineStr">
        <is>
          <t>Cobertura</t>
        </is>
      </c>
    </row>
    <row r="2">
      <c r="A2" t="inlineStr">
        <is>
          <t>Paracetamol 500 mg (caja 10 tab.)</t>
        </is>
      </c>
      <c r="B2" t="inlineStr">
        <is>
          <t>caja</t>
        </is>
      </c>
      <c r="C2" t="n">
        <v>53</v>
      </c>
      <c r="D2" t="n">
        <v>80</v>
      </c>
      <c r="E2" t="n">
        <v>240</v>
      </c>
      <c r="F2" s="6" t="n">
        <v>18.5</v>
      </c>
      <c r="G2" t="inlineStr">
        <is>
          <t>Distribuidora Médica del Bajío</t>
        </is>
      </c>
      <c r="H2" s="7">
        <f>C2/D2</f>
        <v/>
      </c>
    </row>
    <row r="3">
      <c r="A3" t="inlineStr">
        <is>
          <t>Ibuprofeno 400 mg (caja 10 tab.)</t>
        </is>
      </c>
      <c r="B3" t="inlineStr">
        <is>
          <t>caja</t>
        </is>
      </c>
      <c r="C3" t="n">
        <v>109</v>
      </c>
      <c r="D3" t="n">
        <v>60</v>
      </c>
      <c r="E3" t="n">
        <v>200</v>
      </c>
      <c r="F3" s="6" t="n">
        <v>24</v>
      </c>
      <c r="G3" t="inlineStr">
        <is>
          <t>Distribuidora Médica del Bajío</t>
        </is>
      </c>
      <c r="H3" s="7">
        <f>C3/D3</f>
        <v/>
      </c>
    </row>
    <row r="4">
      <c r="A4" t="inlineStr">
        <is>
          <t>Amoxicilina 500 mg (caja 12 cáp.)</t>
        </is>
      </c>
      <c r="B4" t="inlineStr">
        <is>
          <t>caja</t>
        </is>
      </c>
      <c r="C4" t="n">
        <v>41</v>
      </c>
      <c r="D4" t="n">
        <v>40</v>
      </c>
      <c r="E4" t="n">
        <v>120</v>
      </c>
      <c r="F4" s="6" t="n">
        <v>46</v>
      </c>
      <c r="G4" t="inlineStr">
        <is>
          <t>Farmacéutica Vital</t>
        </is>
      </c>
      <c r="H4" s="7">
        <f>C4/D4</f>
        <v/>
      </c>
    </row>
    <row r="5">
      <c r="A5" t="inlineStr">
        <is>
          <t>Metformina 850 mg (caja 30 tab.)</t>
        </is>
      </c>
      <c r="B5" t="inlineStr">
        <is>
          <t>caja</t>
        </is>
      </c>
      <c r="C5" t="n">
        <v>138</v>
      </c>
      <c r="D5" t="n">
        <v>100</v>
      </c>
      <c r="E5" t="n">
        <v>300</v>
      </c>
      <c r="F5" s="6" t="n">
        <v>39</v>
      </c>
      <c r="G5" t="inlineStr">
        <is>
          <t>Farmacéutica Vital</t>
        </is>
      </c>
      <c r="H5" s="7">
        <f>C5/D5</f>
        <v/>
      </c>
    </row>
    <row r="6">
      <c r="A6" t="inlineStr">
        <is>
          <t>Losartán 50 mg (caja 30 tab.)</t>
        </is>
      </c>
      <c r="B6" t="inlineStr">
        <is>
          <t>caja</t>
        </is>
      </c>
      <c r="C6" t="n">
        <v>54</v>
      </c>
      <c r="D6" t="n">
        <v>90</v>
      </c>
      <c r="E6" t="n">
        <v>260</v>
      </c>
      <c r="F6" s="6" t="n">
        <v>52</v>
      </c>
      <c r="G6" t="inlineStr">
        <is>
          <t>Farmacéutica Vital</t>
        </is>
      </c>
      <c r="H6" s="7">
        <f>C6/D6</f>
        <v/>
      </c>
    </row>
    <row r="7">
      <c r="A7" t="inlineStr">
        <is>
          <t>Omeprazol 20 mg (caja 14 cáp.)</t>
        </is>
      </c>
      <c r="B7" t="inlineStr">
        <is>
          <t>caja</t>
        </is>
      </c>
      <c r="C7" t="n">
        <v>95</v>
      </c>
      <c r="D7" t="n">
        <v>50</v>
      </c>
      <c r="E7" t="n">
        <v>150</v>
      </c>
      <c r="F7" s="6" t="n">
        <v>33</v>
      </c>
      <c r="G7" t="inlineStr">
        <is>
          <t>Insumos Salud Total</t>
        </is>
      </c>
      <c r="H7" s="7">
        <f>C7/D7</f>
        <v/>
      </c>
    </row>
    <row r="8">
      <c r="A8" t="inlineStr">
        <is>
          <t>Salbutamol inhalador 100 µg</t>
        </is>
      </c>
      <c r="B8" t="inlineStr">
        <is>
          <t>pieza</t>
        </is>
      </c>
      <c r="C8" t="n">
        <v>11</v>
      </c>
      <c r="D8" t="n">
        <v>20</v>
      </c>
      <c r="E8" t="n">
        <v>60</v>
      </c>
      <c r="F8" s="6" t="n">
        <v>98</v>
      </c>
      <c r="G8" t="inlineStr">
        <is>
          <t>Insumos Salud Total</t>
        </is>
      </c>
      <c r="H8" s="7">
        <f>C8/D8</f>
        <v/>
      </c>
    </row>
    <row r="9">
      <c r="A9" t="inlineStr">
        <is>
          <t>Loratadina 10 mg (caja 10 tab.)</t>
        </is>
      </c>
      <c r="B9" t="inlineStr">
        <is>
          <t>caja</t>
        </is>
      </c>
      <c r="C9" t="n">
        <v>59</v>
      </c>
      <c r="D9" t="n">
        <v>30</v>
      </c>
      <c r="E9" t="n">
        <v>100</v>
      </c>
      <c r="F9" s="6" t="n">
        <v>21</v>
      </c>
      <c r="G9" t="inlineStr">
        <is>
          <t>Distribuidora Médica del Bajío</t>
        </is>
      </c>
      <c r="H9" s="7">
        <f>C9/D9</f>
        <v/>
      </c>
    </row>
    <row r="10">
      <c r="A10" t="inlineStr">
        <is>
          <t>Insulina NPH 100 UI/mL (frasco)</t>
        </is>
      </c>
      <c r="B10" t="inlineStr">
        <is>
          <t>frasco</t>
        </is>
      </c>
      <c r="C10" t="n">
        <v>20</v>
      </c>
      <c r="D10" t="n">
        <v>20</v>
      </c>
      <c r="E10" t="n">
        <v>60</v>
      </c>
      <c r="F10" s="6" t="n">
        <v>315</v>
      </c>
      <c r="G10" t="inlineStr">
        <is>
          <t>Farmacéutica Vital</t>
        </is>
      </c>
      <c r="H10" s="7">
        <f>C10/D10</f>
        <v/>
      </c>
    </row>
    <row r="11">
      <c r="A11" t="inlineStr">
        <is>
          <t>Enalapril 10 mg (caja 30 tab.)</t>
        </is>
      </c>
      <c r="B11" t="inlineStr">
        <is>
          <t>caja</t>
        </is>
      </c>
      <c r="C11" t="n">
        <v>46</v>
      </c>
      <c r="D11" t="n">
        <v>35</v>
      </c>
      <c r="E11" t="n">
        <v>120</v>
      </c>
      <c r="F11" s="6" t="n">
        <v>28</v>
      </c>
      <c r="G11" t="inlineStr">
        <is>
          <t>Insumos Salud Total</t>
        </is>
      </c>
      <c r="H11" s="7">
        <f>C11/D11</f>
        <v/>
      </c>
    </row>
    <row r="12">
      <c r="A12" t="inlineStr">
        <is>
          <t>Sulfato ferroso 200 mg (caja 30 tab.)</t>
        </is>
      </c>
      <c r="B12" t="inlineStr">
        <is>
          <t>caja</t>
        </is>
      </c>
      <c r="C12" t="n">
        <v>29</v>
      </c>
      <c r="D12" t="n">
        <v>40</v>
      </c>
      <c r="E12" t="n">
        <v>120</v>
      </c>
      <c r="F12" s="6" t="n">
        <v>26</v>
      </c>
      <c r="G12" t="inlineStr">
        <is>
          <t>Distribuidora Médica del Bajío</t>
        </is>
      </c>
      <c r="H12" s="7">
        <f>C12/D12</f>
        <v/>
      </c>
    </row>
    <row r="13">
      <c r="A13" t="inlineStr">
        <is>
          <t>Diclofenaco 75 mg (ampolleta)</t>
        </is>
      </c>
      <c r="B13" t="inlineStr">
        <is>
          <t>ampolleta</t>
        </is>
      </c>
      <c r="C13" t="n">
        <v>227</v>
      </c>
      <c r="D13" t="n">
        <v>100</v>
      </c>
      <c r="E13" t="n">
        <v>400</v>
      </c>
      <c r="F13" s="6" t="n">
        <v>12.5</v>
      </c>
      <c r="G13" t="inlineStr">
        <is>
          <t>Insumos Salud Total</t>
        </is>
      </c>
      <c r="H13" s="7">
        <f>C13/D13</f>
        <v/>
      </c>
    </row>
    <row r="14">
      <c r="A14" t="inlineStr">
        <is>
          <t>Ceftriaxona 1 g (ampolleta)</t>
        </is>
      </c>
      <c r="B14" t="inlineStr">
        <is>
          <t>ampolleta</t>
        </is>
      </c>
      <c r="C14" t="n">
        <v>33</v>
      </c>
      <c r="D14" t="n">
        <v>30</v>
      </c>
      <c r="E14" t="n">
        <v>90</v>
      </c>
      <c r="F14" s="6" t="n">
        <v>85</v>
      </c>
      <c r="G14" t="inlineStr">
        <is>
          <t>Farmacéutica Vital</t>
        </is>
      </c>
      <c r="H14" s="7">
        <f>C14/D14</f>
        <v/>
      </c>
    </row>
    <row r="15">
      <c r="A15" t="inlineStr">
        <is>
          <t>Suero oral (sobre)</t>
        </is>
      </c>
      <c r="B15" t="inlineStr">
        <is>
          <t>sobre</t>
        </is>
      </c>
      <c r="C15" t="n">
        <v>306</v>
      </c>
      <c r="D15" t="n">
        <v>200</v>
      </c>
      <c r="E15" t="n">
        <v>600</v>
      </c>
      <c r="F15" s="6" t="n">
        <v>6.5</v>
      </c>
      <c r="G15" t="inlineStr">
        <is>
          <t>Distribuidora Médica del Bajío</t>
        </is>
      </c>
      <c r="H15" s="7">
        <f>C15/D15</f>
        <v/>
      </c>
    </row>
    <row r="16">
      <c r="A16" t="inlineStr">
        <is>
          <t>Ácido fólico 5 mg (caja 20 tab.)</t>
        </is>
      </c>
      <c r="B16" t="inlineStr">
        <is>
          <t>caja</t>
        </is>
      </c>
      <c r="C16" t="n">
        <v>49</v>
      </c>
      <c r="D16" t="n">
        <v>45</v>
      </c>
      <c r="E16" t="n">
        <v>150</v>
      </c>
      <c r="F16" s="6" t="n">
        <v>15</v>
      </c>
      <c r="G16" t="inlineStr">
        <is>
          <t>Insumos Salud Total</t>
        </is>
      </c>
      <c r="H16" s="7">
        <f>C16/D16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