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edi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$#,##0"/>
    <numFmt numFmtId="166" formatCode="&quot;PED-&quot;0"/>
    <numFmt numFmtId="167" formatCode="0 &quot;pzas&quot;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16 · Pedidos atrasados</t>
        </is>
      </c>
    </row>
    <row r="2">
      <c r="A2" s="2" t="n"/>
    </row>
    <row r="3">
      <c r="A3" s="2" t="inlineStr">
        <is>
          <t>La fecha de corte está en L1.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A2:A41: formato personalizado para ver PED-2501.</t>
        </is>
      </c>
    </row>
    <row r="7">
      <c r="A7" s="2" t="inlineStr">
        <is>
          <t>2. F2:F41: formato personalizado para ver «12 pzas».</t>
        </is>
      </c>
    </row>
    <row r="8">
      <c r="A8" s="2" t="inlineStr">
        <is>
          <t>3. Regla con fórmula en A2:I41 que pinte la fila completa de los pedidos pendientes con compromiso anterior a L1.</t>
        </is>
      </c>
    </row>
    <row r="9">
      <c r="A9" s="2" t="inlineStr">
        <is>
          <t>4. Nivel Experto: amarillo para los pendientes que vencen en los 3 días siguientes.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0" customWidth="1" min="4" max="4"/>
    <col width="22" customWidth="1" min="5" max="5"/>
    <col width="10" customWidth="1" min="6" max="6"/>
    <col width="9" customWidth="1" min="7" max="7"/>
    <col width="12" customWidth="1" min="8" max="8"/>
    <col width="11" customWidth="1" min="9" max="9"/>
    <col width="15" customWidth="1" min="11" max="11"/>
    <col width="12" customWidth="1" min="12" max="12"/>
  </cols>
  <sheetData>
    <row r="1">
      <c r="A1" s="5" t="inlineStr">
        <is>
          <t>Folio</t>
        </is>
      </c>
      <c r="B1" s="5" t="inlineStr">
        <is>
          <t>Fecha</t>
        </is>
      </c>
      <c r="C1" s="5" t="inlineStr">
        <is>
          <t>Cliente</t>
        </is>
      </c>
      <c r="D1" s="5" t="inlineStr">
        <is>
          <t>Sucursal</t>
        </is>
      </c>
      <c r="E1" s="5" t="inlineStr">
        <is>
          <t>Producto</t>
        </is>
      </c>
      <c r="F1" s="5" t="inlineStr">
        <is>
          <t>Cantidad</t>
        </is>
      </c>
      <c r="G1" s="5" t="inlineStr">
        <is>
          <t>Precio</t>
        </is>
      </c>
      <c r="H1" s="5" t="inlineStr">
        <is>
          <t>Compromiso</t>
        </is>
      </c>
      <c r="I1" s="5" t="inlineStr">
        <is>
          <t>Estado</t>
        </is>
      </c>
      <c r="K1" s="6" t="inlineStr">
        <is>
          <t>Fecha de corte</t>
        </is>
      </c>
      <c r="L1" s="7" t="n">
        <v>45973</v>
      </c>
    </row>
    <row r="2">
      <c r="A2" s="8" t="n">
        <v>2501</v>
      </c>
      <c r="B2" s="7" t="n">
        <v>45932</v>
      </c>
      <c r="C2" t="inlineStr">
        <is>
          <t>Coworking Nodo</t>
        </is>
      </c>
      <c r="D2" t="inlineStr">
        <is>
          <t>Norte</t>
        </is>
      </c>
      <c r="E2" t="inlineStr">
        <is>
          <t>Capuchino</t>
        </is>
      </c>
      <c r="F2" s="9" t="n">
        <v>20</v>
      </c>
      <c r="G2" s="10" t="n">
        <v>52</v>
      </c>
      <c r="H2" s="7" t="n">
        <v>45934</v>
      </c>
      <c r="I2" t="inlineStr">
        <is>
          <t>Entregado</t>
        </is>
      </c>
    </row>
    <row r="3">
      <c r="A3" s="8" t="n">
        <v>2502</v>
      </c>
      <c r="B3" s="7" t="n">
        <v>45932</v>
      </c>
      <c r="C3" t="inlineStr">
        <is>
          <t>Clínica Dental Sonrisa</t>
        </is>
      </c>
      <c r="D3" t="inlineStr">
        <is>
          <t>Sur</t>
        </is>
      </c>
      <c r="E3" t="inlineStr">
        <is>
          <t>Chai latte</t>
        </is>
      </c>
      <c r="F3" s="9" t="n">
        <v>15</v>
      </c>
      <c r="G3" s="10" t="n">
        <v>54</v>
      </c>
      <c r="H3" s="7" t="n">
        <v>45939</v>
      </c>
      <c r="I3" t="inlineStr">
        <is>
          <t>Entregado</t>
        </is>
      </c>
    </row>
    <row r="4">
      <c r="A4" s="8" t="n">
        <v>2503</v>
      </c>
      <c r="B4" s="7" t="n">
        <v>45932</v>
      </c>
      <c r="C4" t="inlineStr">
        <is>
          <t>Coworking Nodo</t>
        </is>
      </c>
      <c r="D4" t="inlineStr">
        <is>
          <t>Centro</t>
        </is>
      </c>
      <c r="E4" t="inlineStr">
        <is>
          <t>Frappé moka</t>
        </is>
      </c>
      <c r="F4" s="9" t="n">
        <v>24</v>
      </c>
      <c r="G4" s="10" t="n">
        <v>68</v>
      </c>
      <c r="H4" s="7" t="n">
        <v>45934</v>
      </c>
      <c r="I4" t="inlineStr">
        <is>
          <t>Entregado</t>
        </is>
      </c>
    </row>
    <row r="5">
      <c r="A5" s="8" t="n">
        <v>2504</v>
      </c>
      <c r="B5" s="7" t="n">
        <v>45934</v>
      </c>
      <c r="C5" t="inlineStr">
        <is>
          <t>Despacho Luna &amp; Asoc.</t>
        </is>
      </c>
      <c r="D5" t="inlineStr">
        <is>
          <t>Norte</t>
        </is>
      </c>
      <c r="E5" t="inlineStr">
        <is>
          <t>Panini caprese</t>
        </is>
      </c>
      <c r="F5" s="9" t="n">
        <v>24</v>
      </c>
      <c r="G5" s="10" t="n">
        <v>85</v>
      </c>
      <c r="H5" s="7" t="n">
        <v>45936</v>
      </c>
      <c r="I5" t="inlineStr">
        <is>
          <t>Entregado</t>
        </is>
      </c>
    </row>
    <row r="6">
      <c r="A6" s="8" t="n">
        <v>2505</v>
      </c>
      <c r="B6" s="7" t="n">
        <v>45934</v>
      </c>
      <c r="C6" t="inlineStr">
        <is>
          <t>Coworking Nodo</t>
        </is>
      </c>
      <c r="D6" t="inlineStr">
        <is>
          <t>Norte</t>
        </is>
      </c>
      <c r="E6" t="inlineStr">
        <is>
          <t>Americano</t>
        </is>
      </c>
      <c r="F6" s="9" t="n">
        <v>30</v>
      </c>
      <c r="G6" s="10" t="n">
        <v>40</v>
      </c>
      <c r="H6" s="7" t="n">
        <v>45940</v>
      </c>
      <c r="I6" t="inlineStr">
        <is>
          <t>Entregado</t>
        </is>
      </c>
    </row>
    <row r="7">
      <c r="A7" s="8" t="n">
        <v>2506</v>
      </c>
      <c r="B7" s="7" t="n">
        <v>45935</v>
      </c>
      <c r="C7" t="inlineStr">
        <is>
          <t>Notaría 14</t>
        </is>
      </c>
      <c r="D7" t="inlineStr">
        <is>
          <t>Sur</t>
        </is>
      </c>
      <c r="E7" t="inlineStr">
        <is>
          <t>Té verde</t>
        </is>
      </c>
      <c r="F7" s="9" t="n">
        <v>30</v>
      </c>
      <c r="G7" s="10" t="n">
        <v>38</v>
      </c>
      <c r="H7" s="7" t="n">
        <v>45943</v>
      </c>
      <c r="I7" t="inlineStr">
        <is>
          <t>Entregado</t>
        </is>
      </c>
    </row>
    <row r="8">
      <c r="A8" s="8" t="n">
        <v>2507</v>
      </c>
      <c r="B8" s="7" t="n">
        <v>45936</v>
      </c>
      <c r="C8" t="inlineStr">
        <is>
          <t>Hospital San Rafael</t>
        </is>
      </c>
      <c r="D8" t="inlineStr">
        <is>
          <t>Sur</t>
        </is>
      </c>
      <c r="E8" t="inlineStr">
        <is>
          <t>Sándwich de pavo</t>
        </is>
      </c>
      <c r="F8" s="9" t="n">
        <v>30</v>
      </c>
      <c r="G8" s="10" t="n">
        <v>78</v>
      </c>
      <c r="H8" s="7" t="n">
        <v>45938</v>
      </c>
      <c r="I8" t="inlineStr">
        <is>
          <t>Entregado</t>
        </is>
      </c>
    </row>
    <row r="9">
      <c r="A9" s="8" t="n">
        <v>2508</v>
      </c>
      <c r="B9" s="7" t="n">
        <v>45936</v>
      </c>
      <c r="C9" t="inlineStr">
        <is>
          <t>Coworking Nodo</t>
        </is>
      </c>
      <c r="D9" t="inlineStr">
        <is>
          <t>Centro</t>
        </is>
      </c>
      <c r="E9" t="inlineStr">
        <is>
          <t>Muffin de mora</t>
        </is>
      </c>
      <c r="F9" s="9" t="n">
        <v>12</v>
      </c>
      <c r="G9" s="10" t="n">
        <v>35</v>
      </c>
      <c r="H9" s="7" t="n">
        <v>45944</v>
      </c>
      <c r="I9" t="inlineStr">
        <is>
          <t>Entregado</t>
        </is>
      </c>
    </row>
    <row r="10">
      <c r="A10" s="8" t="n">
        <v>2509</v>
      </c>
      <c r="B10" s="7" t="n">
        <v>45936</v>
      </c>
      <c r="C10" t="inlineStr">
        <is>
          <t>Coworking Nodo</t>
        </is>
      </c>
      <c r="D10" t="inlineStr">
        <is>
          <t>Sur</t>
        </is>
      </c>
      <c r="E10" t="inlineStr">
        <is>
          <t>Moka</t>
        </is>
      </c>
      <c r="F10" s="9" t="n">
        <v>24</v>
      </c>
      <c r="G10" s="10" t="n">
        <v>60</v>
      </c>
      <c r="H10" s="7" t="n">
        <v>45939</v>
      </c>
      <c r="I10" t="inlineStr">
        <is>
          <t>Entregado</t>
        </is>
      </c>
    </row>
    <row r="11">
      <c r="A11" s="8" t="n">
        <v>2510</v>
      </c>
      <c r="B11" s="7" t="n">
        <v>45937</v>
      </c>
      <c r="C11" t="inlineStr">
        <is>
          <t>Clínica Dental Sonrisa</t>
        </is>
      </c>
      <c r="D11" t="inlineStr">
        <is>
          <t>Norte</t>
        </is>
      </c>
      <c r="E11" t="inlineStr">
        <is>
          <t>Café de olla</t>
        </is>
      </c>
      <c r="F11" s="9" t="n">
        <v>36</v>
      </c>
      <c r="G11" s="10" t="n">
        <v>38</v>
      </c>
      <c r="H11" s="7" t="n">
        <v>45940</v>
      </c>
      <c r="I11" t="inlineStr">
        <is>
          <t>Pendiente</t>
        </is>
      </c>
    </row>
    <row r="12">
      <c r="A12" s="8" t="n">
        <v>2511</v>
      </c>
      <c r="B12" s="7" t="n">
        <v>45937</v>
      </c>
      <c r="C12" t="inlineStr">
        <is>
          <t>Clínica Dental Sonrisa</t>
        </is>
      </c>
      <c r="D12" t="inlineStr">
        <is>
          <t>Sur</t>
        </is>
      </c>
      <c r="E12" t="inlineStr">
        <is>
          <t>Latte</t>
        </is>
      </c>
      <c r="F12" s="9" t="n">
        <v>15</v>
      </c>
      <c r="G12" s="10" t="n">
        <v>55</v>
      </c>
      <c r="H12" s="7" t="n">
        <v>45940</v>
      </c>
      <c r="I12" t="inlineStr">
        <is>
          <t>Entregado</t>
        </is>
      </c>
    </row>
    <row r="13">
      <c r="A13" s="8" t="n">
        <v>2512</v>
      </c>
      <c r="B13" s="7" t="n">
        <v>45940</v>
      </c>
      <c r="C13" t="inlineStr">
        <is>
          <t>Despacho Luna &amp; Asoc.</t>
        </is>
      </c>
      <c r="D13" t="inlineStr">
        <is>
          <t>Centro</t>
        </is>
      </c>
      <c r="E13" t="inlineStr">
        <is>
          <t>Cold brew</t>
        </is>
      </c>
      <c r="F13" s="9" t="n">
        <v>12</v>
      </c>
      <c r="G13" s="10" t="n">
        <v>58</v>
      </c>
      <c r="H13" s="7" t="n">
        <v>45944</v>
      </c>
      <c r="I13" t="inlineStr">
        <is>
          <t>Entregado</t>
        </is>
      </c>
    </row>
    <row r="14">
      <c r="A14" s="8" t="n">
        <v>2513</v>
      </c>
      <c r="B14" s="7" t="n">
        <v>45940</v>
      </c>
      <c r="C14" t="inlineStr">
        <is>
          <t>Despacho Luna &amp; Asoc.</t>
        </is>
      </c>
      <c r="D14" t="inlineStr">
        <is>
          <t>Norte</t>
        </is>
      </c>
      <c r="E14" t="inlineStr">
        <is>
          <t>Latte helado</t>
        </is>
      </c>
      <c r="F14" s="9" t="n">
        <v>60</v>
      </c>
      <c r="G14" s="10" t="n">
        <v>58</v>
      </c>
      <c r="H14" s="7" t="n">
        <v>45942</v>
      </c>
      <c r="I14" t="inlineStr">
        <is>
          <t>Pendiente</t>
        </is>
      </c>
    </row>
    <row r="15">
      <c r="A15" s="8" t="n">
        <v>2514</v>
      </c>
      <c r="B15" s="7" t="n">
        <v>45942</v>
      </c>
      <c r="C15" t="inlineStr">
        <is>
          <t>Colegio Montebello</t>
        </is>
      </c>
      <c r="D15" t="inlineStr">
        <is>
          <t>Sur</t>
        </is>
      </c>
      <c r="E15" t="inlineStr">
        <is>
          <t>Sándwich de pavo</t>
        </is>
      </c>
      <c r="F15" s="9" t="n">
        <v>40</v>
      </c>
      <c r="G15" s="10" t="n">
        <v>78</v>
      </c>
      <c r="H15" s="7" t="n">
        <v>45949</v>
      </c>
      <c r="I15" t="inlineStr">
        <is>
          <t>Entregado</t>
        </is>
      </c>
    </row>
    <row r="16">
      <c r="A16" s="8" t="n">
        <v>2515</v>
      </c>
      <c r="B16" s="7" t="n">
        <v>45943</v>
      </c>
      <c r="C16" t="inlineStr">
        <is>
          <t>Hospital San Rafael</t>
        </is>
      </c>
      <c r="D16" t="inlineStr">
        <is>
          <t>Norte</t>
        </is>
      </c>
      <c r="E16" t="inlineStr">
        <is>
          <t>Bagel con queso crema</t>
        </is>
      </c>
      <c r="F16" s="9" t="n">
        <v>60</v>
      </c>
      <c r="G16" s="10" t="n">
        <v>45</v>
      </c>
      <c r="H16" s="7" t="n">
        <v>45946</v>
      </c>
      <c r="I16" t="inlineStr">
        <is>
          <t>Pendiente</t>
        </is>
      </c>
    </row>
    <row r="17">
      <c r="A17" s="8" t="n">
        <v>2516</v>
      </c>
      <c r="B17" s="7" t="n">
        <v>45944</v>
      </c>
      <c r="C17" t="inlineStr">
        <is>
          <t>Agencia Pixel</t>
        </is>
      </c>
      <c r="D17" t="inlineStr">
        <is>
          <t>Sur</t>
        </is>
      </c>
      <c r="E17" t="inlineStr">
        <is>
          <t>Brownie</t>
        </is>
      </c>
      <c r="F17" s="9" t="n">
        <v>50</v>
      </c>
      <c r="G17" s="10" t="n">
        <v>40</v>
      </c>
      <c r="H17" s="7" t="n">
        <v>45952</v>
      </c>
      <c r="I17" t="inlineStr">
        <is>
          <t>Entregado</t>
        </is>
      </c>
    </row>
    <row r="18">
      <c r="A18" s="8" t="n">
        <v>2517</v>
      </c>
      <c r="B18" s="7" t="n">
        <v>45944</v>
      </c>
      <c r="C18" t="inlineStr">
        <is>
          <t>Notaría 14</t>
        </is>
      </c>
      <c r="D18" t="inlineStr">
        <is>
          <t>Centro</t>
        </is>
      </c>
      <c r="E18" t="inlineStr">
        <is>
          <t>Brownie</t>
        </is>
      </c>
      <c r="F18" s="9" t="n">
        <v>50</v>
      </c>
      <c r="G18" s="10" t="n">
        <v>40</v>
      </c>
      <c r="H18" s="7" t="n">
        <v>45952</v>
      </c>
      <c r="I18" t="inlineStr">
        <is>
          <t>Entregado</t>
        </is>
      </c>
    </row>
    <row r="19">
      <c r="A19" s="8" t="n">
        <v>2518</v>
      </c>
      <c r="B19" s="7" t="n">
        <v>45945</v>
      </c>
      <c r="C19" t="inlineStr">
        <is>
          <t>Inmobiliaria Cumbres</t>
        </is>
      </c>
      <c r="D19" t="inlineStr">
        <is>
          <t>Centro</t>
        </is>
      </c>
      <c r="E19" t="inlineStr">
        <is>
          <t>Pay de queso</t>
        </is>
      </c>
      <c r="F19" s="9" t="n">
        <v>50</v>
      </c>
      <c r="G19" s="10" t="n">
        <v>55</v>
      </c>
      <c r="H19" s="7" t="n">
        <v>45951</v>
      </c>
      <c r="I19" t="inlineStr">
        <is>
          <t>Entregado</t>
        </is>
      </c>
    </row>
    <row r="20">
      <c r="A20" s="8" t="n">
        <v>2519</v>
      </c>
      <c r="B20" s="7" t="n">
        <v>45947</v>
      </c>
      <c r="C20" t="inlineStr">
        <is>
          <t>Agencia Pixel</t>
        </is>
      </c>
      <c r="D20" t="inlineStr">
        <is>
          <t>Centro</t>
        </is>
      </c>
      <c r="E20" t="inlineStr">
        <is>
          <t>Espresso</t>
        </is>
      </c>
      <c r="F20" s="9" t="n">
        <v>15</v>
      </c>
      <c r="G20" s="10" t="n">
        <v>35</v>
      </c>
      <c r="H20" s="7" t="n">
        <v>45950</v>
      </c>
      <c r="I20" t="inlineStr">
        <is>
          <t>Entregado</t>
        </is>
      </c>
    </row>
    <row r="21">
      <c r="A21" s="8" t="n">
        <v>2520</v>
      </c>
      <c r="B21" s="7" t="n">
        <v>45947</v>
      </c>
      <c r="C21" t="inlineStr">
        <is>
          <t>Notaría 14</t>
        </is>
      </c>
      <c r="D21" t="inlineStr">
        <is>
          <t>Norte</t>
        </is>
      </c>
      <c r="E21" t="inlineStr">
        <is>
          <t>Té verde</t>
        </is>
      </c>
      <c r="F21" s="9" t="n">
        <v>50</v>
      </c>
      <c r="G21" s="10" t="n">
        <v>38</v>
      </c>
      <c r="H21" s="7" t="n">
        <v>45953</v>
      </c>
      <c r="I21" t="inlineStr">
        <is>
          <t>Entregado</t>
        </is>
      </c>
    </row>
    <row r="22">
      <c r="A22" s="8" t="n">
        <v>2521</v>
      </c>
      <c r="B22" s="7" t="n">
        <v>45947</v>
      </c>
      <c r="C22" t="inlineStr">
        <is>
          <t>Gimnasio Fénix</t>
        </is>
      </c>
      <c r="D22" t="inlineStr">
        <is>
          <t>Centro</t>
        </is>
      </c>
      <c r="E22" t="inlineStr">
        <is>
          <t>Sándwich de pavo</t>
        </is>
      </c>
      <c r="F22" s="9" t="n">
        <v>30</v>
      </c>
      <c r="G22" s="10" t="n">
        <v>78</v>
      </c>
      <c r="H22" s="7" t="n">
        <v>45954</v>
      </c>
      <c r="I22" t="inlineStr">
        <is>
          <t>Entregado</t>
        </is>
      </c>
    </row>
    <row r="23">
      <c r="A23" s="8" t="n">
        <v>2522</v>
      </c>
      <c r="B23" s="7" t="n">
        <v>45949</v>
      </c>
      <c r="C23" t="inlineStr">
        <is>
          <t>Despacho Luna &amp; Asoc.</t>
        </is>
      </c>
      <c r="D23" t="inlineStr">
        <is>
          <t>Norte</t>
        </is>
      </c>
      <c r="E23" t="inlineStr">
        <is>
          <t>Galleta de avena</t>
        </is>
      </c>
      <c r="F23" s="9" t="n">
        <v>60</v>
      </c>
      <c r="G23" s="10" t="n">
        <v>25</v>
      </c>
      <c r="H23" s="7" t="n">
        <v>45952</v>
      </c>
      <c r="I23" t="inlineStr">
        <is>
          <t>Pendiente</t>
        </is>
      </c>
    </row>
    <row r="24">
      <c r="A24" s="8" t="n">
        <v>2523</v>
      </c>
      <c r="B24" s="7" t="n">
        <v>45950</v>
      </c>
      <c r="C24" t="inlineStr">
        <is>
          <t>Inmobiliaria Cumbres</t>
        </is>
      </c>
      <c r="D24" t="inlineStr">
        <is>
          <t>Sur</t>
        </is>
      </c>
      <c r="E24" t="inlineStr">
        <is>
          <t>Capuchino</t>
        </is>
      </c>
      <c r="F24" s="9" t="n">
        <v>15</v>
      </c>
      <c r="G24" s="10" t="n">
        <v>52</v>
      </c>
      <c r="H24" s="7" t="n">
        <v>45953</v>
      </c>
      <c r="I24" t="inlineStr">
        <is>
          <t>Entregado</t>
        </is>
      </c>
    </row>
    <row r="25">
      <c r="A25" s="8" t="n">
        <v>2524</v>
      </c>
      <c r="B25" s="7" t="n">
        <v>45952</v>
      </c>
      <c r="C25" t="inlineStr">
        <is>
          <t>Notaría 14</t>
        </is>
      </c>
      <c r="D25" t="inlineStr">
        <is>
          <t>Norte</t>
        </is>
      </c>
      <c r="E25" t="inlineStr">
        <is>
          <t>Sándwich de pavo</t>
        </is>
      </c>
      <c r="F25" s="9" t="n">
        <v>36</v>
      </c>
      <c r="G25" s="10" t="n">
        <v>78</v>
      </c>
      <c r="H25" s="7" t="n">
        <v>45956</v>
      </c>
      <c r="I25" t="inlineStr">
        <is>
          <t>Entregado</t>
        </is>
      </c>
    </row>
    <row r="26">
      <c r="A26" s="8" t="n">
        <v>2525</v>
      </c>
      <c r="B26" s="7" t="n">
        <v>45952</v>
      </c>
      <c r="C26" t="inlineStr">
        <is>
          <t>Notaría 14</t>
        </is>
      </c>
      <c r="D26" t="inlineStr">
        <is>
          <t>Centro</t>
        </is>
      </c>
      <c r="E26" t="inlineStr">
        <is>
          <t>Latte helado</t>
        </is>
      </c>
      <c r="F26" s="9" t="n">
        <v>24</v>
      </c>
      <c r="G26" s="10" t="n">
        <v>58</v>
      </c>
      <c r="H26" s="7" t="n">
        <v>45960</v>
      </c>
      <c r="I26" t="inlineStr">
        <is>
          <t>Entregado</t>
        </is>
      </c>
    </row>
    <row r="27">
      <c r="A27" s="8" t="n">
        <v>2526</v>
      </c>
      <c r="B27" s="7" t="n">
        <v>45952</v>
      </c>
      <c r="C27" t="inlineStr">
        <is>
          <t>Notaría 14</t>
        </is>
      </c>
      <c r="D27" t="inlineStr">
        <is>
          <t>Sur</t>
        </is>
      </c>
      <c r="E27" t="inlineStr">
        <is>
          <t>Pay de queso</t>
        </is>
      </c>
      <c r="F27" s="9" t="n">
        <v>20</v>
      </c>
      <c r="G27" s="10" t="n">
        <v>55</v>
      </c>
      <c r="H27" s="7" t="n">
        <v>45955</v>
      </c>
      <c r="I27" t="inlineStr">
        <is>
          <t>Entregado</t>
        </is>
      </c>
    </row>
    <row r="28">
      <c r="A28" s="8" t="n">
        <v>2527</v>
      </c>
      <c r="B28" s="7" t="n">
        <v>45955</v>
      </c>
      <c r="C28" t="inlineStr">
        <is>
          <t>Gimnasio Fénix</t>
        </is>
      </c>
      <c r="D28" t="inlineStr">
        <is>
          <t>Norte</t>
        </is>
      </c>
      <c r="E28" t="inlineStr">
        <is>
          <t>Chai latte</t>
        </is>
      </c>
      <c r="F28" s="9" t="n">
        <v>30</v>
      </c>
      <c r="G28" s="10" t="n">
        <v>54</v>
      </c>
      <c r="H28" s="7" t="n">
        <v>45959</v>
      </c>
      <c r="I28" t="inlineStr">
        <is>
          <t>Entregado</t>
        </is>
      </c>
    </row>
    <row r="29">
      <c r="A29" s="8" t="n">
        <v>2528</v>
      </c>
      <c r="B29" s="7" t="n">
        <v>45957</v>
      </c>
      <c r="C29" t="inlineStr">
        <is>
          <t>Coworking Nodo</t>
        </is>
      </c>
      <c r="D29" t="inlineStr">
        <is>
          <t>Centro</t>
        </is>
      </c>
      <c r="E29" t="inlineStr">
        <is>
          <t>Galleta de avena</t>
        </is>
      </c>
      <c r="F29" s="9" t="n">
        <v>20</v>
      </c>
      <c r="G29" s="10" t="n">
        <v>25</v>
      </c>
      <c r="H29" s="7" t="n">
        <v>45961</v>
      </c>
      <c r="I29" t="inlineStr">
        <is>
          <t>Entregado</t>
        </is>
      </c>
    </row>
    <row r="30">
      <c r="A30" s="8" t="n">
        <v>2529</v>
      </c>
      <c r="B30" s="7" t="n">
        <v>45957</v>
      </c>
      <c r="C30" t="inlineStr">
        <is>
          <t>Coworking Nodo</t>
        </is>
      </c>
      <c r="D30" t="inlineStr">
        <is>
          <t>Centro</t>
        </is>
      </c>
      <c r="E30" t="inlineStr">
        <is>
          <t>Brownie</t>
        </is>
      </c>
      <c r="F30" s="9" t="n">
        <v>30</v>
      </c>
      <c r="G30" s="10" t="n">
        <v>40</v>
      </c>
      <c r="H30" s="7" t="n">
        <v>45963</v>
      </c>
      <c r="I30" t="inlineStr">
        <is>
          <t>Entregado</t>
        </is>
      </c>
    </row>
    <row r="31">
      <c r="A31" s="8" t="n">
        <v>2530</v>
      </c>
      <c r="B31" s="7" t="n">
        <v>45958</v>
      </c>
      <c r="C31" t="inlineStr">
        <is>
          <t>Despacho Luna &amp; Asoc.</t>
        </is>
      </c>
      <c r="D31" t="inlineStr">
        <is>
          <t>Sur</t>
        </is>
      </c>
      <c r="E31" t="inlineStr">
        <is>
          <t>Chai latte</t>
        </is>
      </c>
      <c r="F31" s="9" t="n">
        <v>15</v>
      </c>
      <c r="G31" s="10" t="n">
        <v>54</v>
      </c>
      <c r="H31" s="7" t="n">
        <v>45961</v>
      </c>
      <c r="I31" t="inlineStr">
        <is>
          <t>Entregado</t>
        </is>
      </c>
    </row>
    <row r="32">
      <c r="A32" s="8" t="n">
        <v>2531</v>
      </c>
      <c r="B32" s="7" t="n">
        <v>45962</v>
      </c>
      <c r="C32" t="inlineStr">
        <is>
          <t>Universidad del Norte</t>
        </is>
      </c>
      <c r="D32" t="inlineStr">
        <is>
          <t>Sur</t>
        </is>
      </c>
      <c r="E32" t="inlineStr">
        <is>
          <t>Galleta de avena</t>
        </is>
      </c>
      <c r="F32" s="9" t="n">
        <v>40</v>
      </c>
      <c r="G32" s="10" t="n">
        <v>25</v>
      </c>
      <c r="H32" s="7" t="n">
        <v>45967</v>
      </c>
      <c r="I32" t="inlineStr">
        <is>
          <t>Entregado</t>
        </is>
      </c>
    </row>
    <row r="33">
      <c r="A33" s="8" t="n">
        <v>2532</v>
      </c>
      <c r="B33" s="7" t="n">
        <v>45963</v>
      </c>
      <c r="C33" t="inlineStr">
        <is>
          <t>Hospital San Rafael</t>
        </is>
      </c>
      <c r="D33" t="inlineStr">
        <is>
          <t>Centro</t>
        </is>
      </c>
      <c r="E33" t="inlineStr">
        <is>
          <t>Frappé moka</t>
        </is>
      </c>
      <c r="F33" s="9" t="n">
        <v>50</v>
      </c>
      <c r="G33" s="10" t="n">
        <v>68</v>
      </c>
      <c r="H33" s="7" t="n">
        <v>45971</v>
      </c>
      <c r="I33" t="inlineStr">
        <is>
          <t>Entregado</t>
        </is>
      </c>
    </row>
    <row r="34">
      <c r="A34" s="8" t="n">
        <v>2533</v>
      </c>
      <c r="B34" s="7" t="n">
        <v>45964</v>
      </c>
      <c r="C34" t="inlineStr">
        <is>
          <t>Notaría 14</t>
        </is>
      </c>
      <c r="D34" t="inlineStr">
        <is>
          <t>Norte</t>
        </is>
      </c>
      <c r="E34" t="inlineStr">
        <is>
          <t>Latte helado</t>
        </is>
      </c>
      <c r="F34" s="9" t="n">
        <v>20</v>
      </c>
      <c r="G34" s="10" t="n">
        <v>58</v>
      </c>
      <c r="H34" s="7" t="n">
        <v>45967</v>
      </c>
      <c r="I34" t="inlineStr">
        <is>
          <t>Pendiente</t>
        </is>
      </c>
    </row>
    <row r="35">
      <c r="A35" s="8" t="n">
        <v>2534</v>
      </c>
      <c r="B35" s="7" t="n">
        <v>45966</v>
      </c>
      <c r="C35" t="inlineStr">
        <is>
          <t>Hospital San Rafael</t>
        </is>
      </c>
      <c r="D35" t="inlineStr">
        <is>
          <t>Norte</t>
        </is>
      </c>
      <c r="E35" t="inlineStr">
        <is>
          <t>Espresso</t>
        </is>
      </c>
      <c r="F35" s="9" t="n">
        <v>24</v>
      </c>
      <c r="G35" s="10" t="n">
        <v>35</v>
      </c>
      <c r="H35" s="7" t="n">
        <v>45971</v>
      </c>
      <c r="I35" t="inlineStr">
        <is>
          <t>Entregado</t>
        </is>
      </c>
    </row>
    <row r="36">
      <c r="A36" s="8" t="n">
        <v>2535</v>
      </c>
      <c r="B36" s="7" t="n">
        <v>45968</v>
      </c>
      <c r="C36" t="inlineStr">
        <is>
          <t>Notaría 14</t>
        </is>
      </c>
      <c r="D36" t="inlineStr">
        <is>
          <t>Sur</t>
        </is>
      </c>
      <c r="E36" t="inlineStr">
        <is>
          <t>Chai latte</t>
        </is>
      </c>
      <c r="F36" s="9" t="n">
        <v>20</v>
      </c>
      <c r="G36" s="10" t="n">
        <v>54</v>
      </c>
      <c r="H36" s="7" t="n">
        <v>45972</v>
      </c>
      <c r="I36" t="inlineStr">
        <is>
          <t>Entregado</t>
        </is>
      </c>
    </row>
    <row r="37">
      <c r="A37" s="8" t="n">
        <v>2536</v>
      </c>
      <c r="B37" s="7" t="n">
        <v>45970</v>
      </c>
      <c r="C37" t="inlineStr">
        <is>
          <t>Universidad del Norte</t>
        </is>
      </c>
      <c r="D37" t="inlineStr">
        <is>
          <t>Centro</t>
        </is>
      </c>
      <c r="E37" t="inlineStr">
        <is>
          <t>Latte helado</t>
        </is>
      </c>
      <c r="F37" s="9" t="n">
        <v>60</v>
      </c>
      <c r="G37" s="10" t="n">
        <v>58</v>
      </c>
      <c r="H37" s="7" t="n">
        <v>45976</v>
      </c>
      <c r="I37" t="inlineStr">
        <is>
          <t>Pendiente</t>
        </is>
      </c>
    </row>
    <row r="38">
      <c r="A38" s="8" t="n">
        <v>2537</v>
      </c>
      <c r="B38" s="7" t="n">
        <v>45970</v>
      </c>
      <c r="C38" t="inlineStr">
        <is>
          <t>Gimnasio Fénix</t>
        </is>
      </c>
      <c r="D38" t="inlineStr">
        <is>
          <t>Norte</t>
        </is>
      </c>
      <c r="E38" t="inlineStr">
        <is>
          <t>Capuchino</t>
        </is>
      </c>
      <c r="F38" s="9" t="n">
        <v>24</v>
      </c>
      <c r="G38" s="10" t="n">
        <v>52</v>
      </c>
      <c r="H38" s="7" t="n">
        <v>45976</v>
      </c>
      <c r="I38" t="inlineStr">
        <is>
          <t>Pendiente</t>
        </is>
      </c>
    </row>
    <row r="39">
      <c r="A39" s="8" t="n">
        <v>2538</v>
      </c>
      <c r="B39" s="7" t="n">
        <v>45970</v>
      </c>
      <c r="C39" t="inlineStr">
        <is>
          <t>Gimnasio Fénix</t>
        </is>
      </c>
      <c r="D39" t="inlineStr">
        <is>
          <t>Norte</t>
        </is>
      </c>
      <c r="E39" t="inlineStr">
        <is>
          <t>Café de olla</t>
        </is>
      </c>
      <c r="F39" s="9" t="n">
        <v>12</v>
      </c>
      <c r="G39" s="10" t="n">
        <v>38</v>
      </c>
      <c r="H39" s="7" t="n">
        <v>45976</v>
      </c>
      <c r="I39" t="inlineStr">
        <is>
          <t>Pendiente</t>
        </is>
      </c>
    </row>
    <row r="40">
      <c r="A40" s="8" t="n">
        <v>2539</v>
      </c>
      <c r="B40" s="7" t="n">
        <v>45972</v>
      </c>
      <c r="C40" t="inlineStr">
        <is>
          <t>Coworking Nodo</t>
        </is>
      </c>
      <c r="D40" t="inlineStr">
        <is>
          <t>Norte</t>
        </is>
      </c>
      <c r="E40" t="inlineStr">
        <is>
          <t>Latte</t>
        </is>
      </c>
      <c r="F40" s="9" t="n">
        <v>12</v>
      </c>
      <c r="G40" s="10" t="n">
        <v>55</v>
      </c>
      <c r="H40" s="7" t="n">
        <v>45980</v>
      </c>
      <c r="I40" t="inlineStr">
        <is>
          <t>Pendiente</t>
        </is>
      </c>
    </row>
    <row r="41">
      <c r="A41" s="8" t="n">
        <v>2540</v>
      </c>
      <c r="B41" s="7" t="n">
        <v>45972</v>
      </c>
      <c r="C41" t="inlineStr">
        <is>
          <t>Inmobiliaria Cumbres</t>
        </is>
      </c>
      <c r="D41" t="inlineStr">
        <is>
          <t>Sur</t>
        </is>
      </c>
      <c r="E41" t="inlineStr">
        <is>
          <t>Café de olla</t>
        </is>
      </c>
      <c r="F41" s="9" t="n">
        <v>30</v>
      </c>
      <c r="G41" s="10" t="n">
        <v>38</v>
      </c>
      <c r="H41" s="7" t="n">
        <v>45976</v>
      </c>
      <c r="I41" t="inlineStr">
        <is>
          <t>Pendiente</t>
        </is>
      </c>
    </row>
  </sheetData>
  <conditionalFormatting sqref="A2:I41">
    <cfRule type="expression" priority="1" dxfId="0">
      <formula>AND($I2="Pendiente",$H2&lt;$L$1)</formula>
    </cfRule>
    <cfRule type="expression" priority="2" dxfId="1">
      <formula>AND($I2="Pendiente",$H2&gt;=$L$1,$H2&lt;=$L$1+3)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