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od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18 · Punto de equilibrio de Norte</t>
        </is>
      </c>
    </row>
    <row r="2">
      <c r="A2" s="2" t="n"/>
    </row>
    <row r="3">
      <c r="A3" s="2" t="inlineStr">
        <is>
          <t>El mismo modelo con los costos de la sucursal Norte.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Buscar objetivo: B16 con valor 0 cambiando B5.</t>
        </is>
      </c>
    </row>
    <row r="7">
      <c r="A7" s="2" t="inlineStr">
        <is>
          <t>2. D3: =REDONDEAR.MAS(B5,0).</t>
        </is>
      </c>
    </row>
    <row r="8">
      <c r="A8" s="2" t="inlineStr">
        <is>
          <t>3. Escenarios sobre B8:B9: «Base» (actuales), «Renta sube» (+5,000 de renta) y «Más personal» (+14,000 de sueldos).</t>
        </is>
      </c>
    </row>
    <row r="9">
      <c r="A9" s="2" t="inlineStr">
        <is>
          <t>4. Nivel Experto: tabla de datos en D14:E19 (E14 =B16, celda de entrada de columna B3).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" customWidth="1" min="3" max="3"/>
    <col width="16" customWidth="1" min="4" max="4"/>
    <col width="14" customWidth="1" min="5" max="5"/>
  </cols>
  <sheetData>
    <row r="1">
      <c r="A1" s="5" t="inlineStr">
        <is>
          <t>Punto de equilibrio · Cafetería La Taza</t>
        </is>
      </c>
    </row>
    <row r="2">
      <c r="D2" s="6" t="inlineStr">
        <is>
          <t>Cafés completos</t>
        </is>
      </c>
    </row>
    <row r="3">
      <c r="A3" s="7" t="inlineStr">
        <is>
          <t>Precio promedio por café</t>
        </is>
      </c>
      <c r="B3" s="8" t="n">
        <v>50</v>
      </c>
      <c r="D3">
        <f>ROUNDUP(B5,0)</f>
        <v/>
      </c>
    </row>
    <row r="4">
      <c r="A4" s="7" t="inlineStr">
        <is>
          <t>Costo variable por café</t>
        </is>
      </c>
      <c r="B4" s="8" t="n">
        <v>13</v>
      </c>
    </row>
    <row r="5">
      <c r="A5" s="7" t="inlineStr">
        <is>
          <t>Cafés vendidos al mes</t>
        </is>
      </c>
      <c r="B5" s="9" t="n">
        <v>3405.405405</v>
      </c>
    </row>
    <row r="7">
      <c r="A7" s="6" t="inlineStr">
        <is>
          <t>Costos fijos mensuales</t>
        </is>
      </c>
    </row>
    <row r="8">
      <c r="A8" t="inlineStr">
        <is>
          <t>Renta</t>
        </is>
      </c>
      <c r="B8" s="10" t="n">
        <v>24000</v>
      </c>
    </row>
    <row r="9">
      <c r="A9" t="inlineStr">
        <is>
          <t>Sueldos</t>
        </is>
      </c>
      <c r="B9" s="10" t="n">
        <v>88000</v>
      </c>
    </row>
    <row r="10">
      <c r="A10" t="inlineStr">
        <is>
          <t>Servicios</t>
        </is>
      </c>
      <c r="B10" s="10" t="n">
        <v>8200</v>
      </c>
    </row>
    <row r="11">
      <c r="A11" t="inlineStr">
        <is>
          <t>Otros gastos</t>
        </is>
      </c>
      <c r="B11" s="10" t="n">
        <v>5800</v>
      </c>
    </row>
    <row r="12">
      <c r="A12" s="6" t="inlineStr">
        <is>
          <t>Total costos fijos</t>
        </is>
      </c>
      <c r="B12" s="10">
        <f>SUM(B8:B11)</f>
        <v/>
      </c>
    </row>
    <row r="13">
      <c r="D13" t="inlineStr">
        <is>
          <t>Precio</t>
        </is>
      </c>
      <c r="E13" t="inlineStr">
        <is>
          <t>Utilidad</t>
        </is>
      </c>
    </row>
    <row r="14">
      <c r="A14" t="inlineStr">
        <is>
          <t>Ingresos</t>
        </is>
      </c>
      <c r="B14" s="10">
        <f>B3*B5</f>
        <v/>
      </c>
      <c r="E14">
        <f>B16</f>
        <v/>
      </c>
    </row>
    <row r="15">
      <c r="A15" t="inlineStr">
        <is>
          <t>Costos variables</t>
        </is>
      </c>
      <c r="B15" s="10">
        <f>B4*B5</f>
        <v/>
      </c>
      <c r="D15" s="10" t="n">
        <v>42</v>
      </c>
      <c r="E15">
        <f t="dataTable" ref="E15:E19" r1="B3"/>
        <v/>
      </c>
    </row>
    <row r="16">
      <c r="A16" s="6" t="inlineStr">
        <is>
          <t>Utilidad</t>
        </is>
      </c>
      <c r="B16" s="10">
        <f>B14-B15-B12</f>
        <v/>
      </c>
      <c r="D16" s="10" t="n">
        <v>46</v>
      </c>
    </row>
    <row r="17">
      <c r="D17" s="10" t="n">
        <v>50</v>
      </c>
    </row>
    <row r="18">
      <c r="D18" s="10" t="n">
        <v>54</v>
      </c>
    </row>
    <row r="19">
      <c r="D19" s="10" t="n">
        <v>58</v>
      </c>
    </row>
  </sheetData>
  <scenarios>
    <scenario name="Base" locked="0" hidden="0" count="2">
      <inputCells r="B8" deleted="0" undone="0" val="24000"/>
      <inputCells r="B9" deleted="0" undone="0" val="88000"/>
    </scenario>
    <scenario name="Renta sube" locked="0" hidden="0" count="2">
      <inputCells r="B8" deleted="0" undone="0" val="29000"/>
      <inputCells r="B9" deleted="0" undone="0" val="88000"/>
    </scenario>
    <scenario name="Más personal" locked="0" hidden="0" count="2">
      <inputCells r="B8" deleted="0" undone="0" val="24000"/>
      <inputCells r="B9" deleted="0" undone="0" val="102000"/>
    </scenario>
  </scenario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