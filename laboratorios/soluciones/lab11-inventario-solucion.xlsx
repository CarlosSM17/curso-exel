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name val="Calibri"/>
      <family val="2"/>
      <b val="1"/>
      <color theme="3"/>
      <sz val="1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0" borderId="1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pivotButton="0" quotePrefix="0" xfId="1"/>
    <xf numFmtId="164" fontId="0" fillId="0" borderId="0" pivotButton="0" quotePrefix="0" xfId="0"/>
    <xf numFmtId="9" fontId="0" fillId="0" borderId="0" pivotButton="0" quotePrefix="0" xfId="0"/>
  </cellXfs>
  <cellStyles count="2">
    <cellStyle name="Normal" xfId="0" builtinId="0" hidden="0"/>
    <cellStyle name="Headline 1" xfId="1" builtinId="16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11 · Semáforo del inventario de Norte</t>
        </is>
      </c>
    </row>
    <row r="2">
      <c r="A2" s="2" t="n"/>
    </row>
    <row r="3">
      <c r="A3" s="2" t="inlineStr">
        <is>
          <t>Mismo inventario con las existencias de Norte.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C2:C16: relleno rojo cuando la existencia sea menor que el mínimo de su fila (regla «Es menor que» con =$D2).</t>
        </is>
      </c>
    </row>
    <row r="7">
      <c r="A7" s="2" t="inlineStr">
        <is>
          <t>2. H2:H16: conjunto de iconos (semáforo).</t>
        </is>
      </c>
    </row>
    <row r="8">
      <c r="A8" s="2" t="inlineStr">
        <is>
          <t>3. F2:F16: barras de datos.</t>
        </is>
      </c>
    </row>
    <row r="9">
      <c r="A9" s="2" t="inlineStr">
        <is>
          <t>4. A1:H1: estilo de celda Encabezado 1.</t>
        </is>
      </c>
    </row>
    <row r="10">
      <c r="A10" s="2" t="inlineStr">
        <is>
          <t>5. Nivel Experto: amarillo entre el mínimo y 1.3 veces el mínimo; cambia el tema del libro.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1" customWidth="1" min="3" max="3"/>
    <col width="9" customWidth="1" min="4" max="4"/>
    <col width="9" customWidth="1" min="5" max="5"/>
    <col width="14" customWidth="1" min="6" max="6"/>
    <col width="18" customWidth="1" min="7" max="7"/>
    <col width="11" customWidth="1" min="8" max="8"/>
  </cols>
  <sheetData>
    <row r="1">
      <c r="A1" s="5" t="inlineStr">
        <is>
          <t>Insumo</t>
        </is>
      </c>
      <c r="B1" s="5" t="inlineStr">
        <is>
          <t>Unidad</t>
        </is>
      </c>
      <c r="C1" s="5" t="inlineStr">
        <is>
          <t>Existencia</t>
        </is>
      </c>
      <c r="D1" s="5" t="inlineStr">
        <is>
          <t>Mínimo</t>
        </is>
      </c>
      <c r="E1" s="5" t="inlineStr">
        <is>
          <t>Máximo</t>
        </is>
      </c>
      <c r="F1" s="5" t="inlineStr">
        <is>
          <t>Costo unitario</t>
        </is>
      </c>
      <c r="G1" s="5" t="inlineStr">
        <is>
          <t>Proveedor</t>
        </is>
      </c>
      <c r="H1" s="5" t="inlineStr">
        <is>
          <t>Cobertura</t>
        </is>
      </c>
    </row>
    <row r="2">
      <c r="A2" t="inlineStr">
        <is>
          <t>Café en grano (blend)</t>
        </is>
      </c>
      <c r="B2" t="inlineStr">
        <is>
          <t>kg</t>
        </is>
      </c>
      <c r="C2" t="n">
        <v>15</v>
      </c>
      <c r="D2" t="n">
        <v>25</v>
      </c>
      <c r="E2" t="n">
        <v>80</v>
      </c>
      <c r="F2" s="6" t="n">
        <v>420</v>
      </c>
      <c r="G2" t="inlineStr">
        <is>
          <t>Finca El Mirador</t>
        </is>
      </c>
      <c r="H2" s="7">
        <f>C2/D2</f>
        <v/>
      </c>
    </row>
    <row r="3">
      <c r="A3" t="inlineStr">
        <is>
          <t>Café en grano (origen)</t>
        </is>
      </c>
      <c r="B3" t="inlineStr">
        <is>
          <t>kg</t>
        </is>
      </c>
      <c r="C3" t="n">
        <v>29</v>
      </c>
      <c r="D3" t="n">
        <v>15</v>
      </c>
      <c r="E3" t="n">
        <v>50</v>
      </c>
      <c r="F3" s="6" t="n">
        <v>560</v>
      </c>
      <c r="G3" t="inlineStr">
        <is>
          <t>Finca El Mirador</t>
        </is>
      </c>
      <c r="H3" s="7">
        <f>C3/D3</f>
        <v/>
      </c>
    </row>
    <row r="4">
      <c r="A4" t="inlineStr">
        <is>
          <t>Leche entera</t>
        </is>
      </c>
      <c r="B4" t="inlineStr">
        <is>
          <t>L</t>
        </is>
      </c>
      <c r="C4" t="n">
        <v>152</v>
      </c>
      <c r="D4" t="n">
        <v>120</v>
      </c>
      <c r="E4" t="n">
        <v>300</v>
      </c>
      <c r="F4" s="6" t="n">
        <v>24</v>
      </c>
      <c r="G4" t="inlineStr">
        <is>
          <t>Lácteos del Valle</t>
        </is>
      </c>
      <c r="H4" s="7">
        <f>C4/D4</f>
        <v/>
      </c>
    </row>
    <row r="5">
      <c r="A5" t="inlineStr">
        <is>
          <t>Leche deslactosada</t>
        </is>
      </c>
      <c r="B5" t="inlineStr">
        <is>
          <t>L</t>
        </is>
      </c>
      <c r="C5" t="n">
        <v>42</v>
      </c>
      <c r="D5" t="n">
        <v>60</v>
      </c>
      <c r="E5" t="n">
        <v>150</v>
      </c>
      <c r="F5" s="6" t="n">
        <v>27</v>
      </c>
      <c r="G5" t="inlineStr">
        <is>
          <t>Lácteos del Valle</t>
        </is>
      </c>
      <c r="H5" s="7">
        <f>C5/D5</f>
        <v/>
      </c>
    </row>
    <row r="6">
      <c r="A6" t="inlineStr">
        <is>
          <t>Bebida de almendra</t>
        </is>
      </c>
      <c r="B6" t="inlineStr">
        <is>
          <t>L</t>
        </is>
      </c>
      <c r="C6" t="n">
        <v>23</v>
      </c>
      <c r="D6" t="n">
        <v>20</v>
      </c>
      <c r="E6" t="n">
        <v>60</v>
      </c>
      <c r="F6" s="6" t="n">
        <v>58</v>
      </c>
      <c r="G6" t="inlineStr">
        <is>
          <t>Natura Verde</t>
        </is>
      </c>
      <c r="H6" s="7">
        <f>C6/D6</f>
        <v/>
      </c>
    </row>
    <row r="7">
      <c r="A7" t="inlineStr">
        <is>
          <t>Chocolate en polvo</t>
        </is>
      </c>
      <c r="B7" t="inlineStr">
        <is>
          <t>kg</t>
        </is>
      </c>
      <c r="C7" t="n">
        <v>9</v>
      </c>
      <c r="D7" t="n">
        <v>8</v>
      </c>
      <c r="E7" t="n">
        <v>25</v>
      </c>
      <c r="F7" s="6" t="n">
        <v>190</v>
      </c>
      <c r="G7" t="inlineStr">
        <is>
          <t>Cacao Real</t>
        </is>
      </c>
      <c r="H7" s="7">
        <f>C7/D7</f>
        <v/>
      </c>
    </row>
    <row r="8">
      <c r="A8" t="inlineStr">
        <is>
          <t>Jarabe de vainilla</t>
        </is>
      </c>
      <c r="B8" t="inlineStr">
        <is>
          <t>botella</t>
        </is>
      </c>
      <c r="C8" t="n">
        <v>3</v>
      </c>
      <c r="D8" t="n">
        <v>6</v>
      </c>
      <c r="E8" t="n">
        <v>20</v>
      </c>
      <c r="F8" s="6" t="n">
        <v>145</v>
      </c>
      <c r="G8" t="inlineStr">
        <is>
          <t>Sabores MX</t>
        </is>
      </c>
      <c r="H8" s="7">
        <f>C8/D8</f>
        <v/>
      </c>
    </row>
    <row r="9">
      <c r="A9" t="inlineStr">
        <is>
          <t>Jarabe de caramelo</t>
        </is>
      </c>
      <c r="B9" t="inlineStr">
        <is>
          <t>botella</t>
        </is>
      </c>
      <c r="C9" t="n">
        <v>14</v>
      </c>
      <c r="D9" t="n">
        <v>6</v>
      </c>
      <c r="E9" t="n">
        <v>20</v>
      </c>
      <c r="F9" s="6" t="n">
        <v>145</v>
      </c>
      <c r="G9" t="inlineStr">
        <is>
          <t>Sabores MX</t>
        </is>
      </c>
      <c r="H9" s="7">
        <f>C9/D9</f>
        <v/>
      </c>
    </row>
    <row r="10">
      <c r="A10" t="inlineStr">
        <is>
          <t>Té chai (concentrado)</t>
        </is>
      </c>
      <c r="B10" t="inlineStr">
        <is>
          <t>L</t>
        </is>
      </c>
      <c r="C10" t="n">
        <v>6</v>
      </c>
      <c r="D10" t="n">
        <v>5</v>
      </c>
      <c r="E10" t="n">
        <v>18</v>
      </c>
      <c r="F10" s="6" t="n">
        <v>210</v>
      </c>
      <c r="G10" t="inlineStr">
        <is>
          <t>Té y Más</t>
        </is>
      </c>
      <c r="H10" s="7">
        <f>C10/D10</f>
        <v/>
      </c>
    </row>
    <row r="11">
      <c r="A11" t="inlineStr">
        <is>
          <t>Té verde</t>
        </is>
      </c>
      <c r="B11" t="inlineStr">
        <is>
          <t>caja</t>
        </is>
      </c>
      <c r="C11" t="n">
        <v>17</v>
      </c>
      <c r="D11" t="n">
        <v>6</v>
      </c>
      <c r="E11" t="n">
        <v>20</v>
      </c>
      <c r="F11" s="6" t="n">
        <v>95</v>
      </c>
      <c r="G11" t="inlineStr">
        <is>
          <t>Té y Más</t>
        </is>
      </c>
      <c r="H11" s="7">
        <f>C11/D11</f>
        <v/>
      </c>
    </row>
    <row r="12">
      <c r="A12" t="inlineStr">
        <is>
          <t>Vasos 12 oz</t>
        </is>
      </c>
      <c r="B12" t="inlineStr">
        <is>
          <t>pieza</t>
        </is>
      </c>
      <c r="C12" t="n">
        <v>819</v>
      </c>
      <c r="D12" t="n">
        <v>1000</v>
      </c>
      <c r="E12" t="n">
        <v>4000</v>
      </c>
      <c r="F12" s="6" t="n">
        <v>1.8</v>
      </c>
      <c r="G12" t="inlineStr">
        <is>
          <t>EcoEmpaque</t>
        </is>
      </c>
      <c r="H12" s="7">
        <f>C12/D12</f>
        <v/>
      </c>
    </row>
    <row r="13">
      <c r="A13" t="inlineStr">
        <is>
          <t>Vasos 16 oz</t>
        </is>
      </c>
      <c r="B13" t="inlineStr">
        <is>
          <t>pieza</t>
        </is>
      </c>
      <c r="C13" t="n">
        <v>2482</v>
      </c>
      <c r="D13" t="n">
        <v>1000</v>
      </c>
      <c r="E13" t="n">
        <v>4000</v>
      </c>
      <c r="F13" s="6" t="n">
        <v>2.1</v>
      </c>
      <c r="G13" t="inlineStr">
        <is>
          <t>EcoEmpaque</t>
        </is>
      </c>
      <c r="H13" s="7">
        <f>C13/D13</f>
        <v/>
      </c>
    </row>
    <row r="14">
      <c r="A14" t="inlineStr">
        <is>
          <t>Tapas</t>
        </is>
      </c>
      <c r="B14" t="inlineStr">
        <is>
          <t>pieza</t>
        </is>
      </c>
      <c r="C14" t="n">
        <v>3703</v>
      </c>
      <c r="D14" t="n">
        <v>1500</v>
      </c>
      <c r="E14" t="n">
        <v>6000</v>
      </c>
      <c r="F14" s="6" t="n">
        <v>0.9</v>
      </c>
      <c r="G14" t="inlineStr">
        <is>
          <t>EcoEmpaque</t>
        </is>
      </c>
      <c r="H14" s="7">
        <f>C14/D14</f>
        <v/>
      </c>
    </row>
    <row r="15">
      <c r="A15" t="inlineStr">
        <is>
          <t>Servilletas</t>
        </is>
      </c>
      <c r="B15" t="inlineStr">
        <is>
          <t>paquete</t>
        </is>
      </c>
      <c r="C15" t="n">
        <v>18</v>
      </c>
      <c r="D15" t="n">
        <v>20</v>
      </c>
      <c r="E15" t="n">
        <v>80</v>
      </c>
      <c r="F15" s="6" t="n">
        <v>38</v>
      </c>
      <c r="G15" t="inlineStr">
        <is>
          <t>EcoEmpaque</t>
        </is>
      </c>
      <c r="H15" s="7">
        <f>C15/D15</f>
        <v/>
      </c>
    </row>
    <row r="16">
      <c r="A16" t="inlineStr">
        <is>
          <t>Croissant congelado</t>
        </is>
      </c>
      <c r="B16" t="inlineStr">
        <is>
          <t>pieza</t>
        </is>
      </c>
      <c r="C16" t="n">
        <v>55</v>
      </c>
      <c r="D16" t="n">
        <v>80</v>
      </c>
      <c r="E16" t="n">
        <v>240</v>
      </c>
      <c r="F16" s="6" t="n">
        <v>9.5</v>
      </c>
      <c r="G16" t="inlineStr">
        <is>
          <t>Panificadora Sol</t>
        </is>
      </c>
      <c r="H16" s="7">
        <f>C16/D16</f>
        <v/>
      </c>
    </row>
  </sheetData>
  <conditionalFormatting sqref="C2:C16">
    <cfRule type="cellIs" priority="1" operator="lessThan" dxfId="0">
      <formula>$D2</formula>
    </cfRule>
    <cfRule type="cellIs" priority="2" operator="between" dxfId="1">
      <formula>$D2</formula>
      <formula>$D2*1.3</formula>
    </cfRule>
  </conditionalFormatting>
  <conditionalFormatting sqref="H2:H16">
    <cfRule type="iconSet" priority="3">
      <iconSet iconSet="3TrafficLights1">
        <cfvo type="percent" val="0"/>
        <cfvo type="percent" val="33"/>
        <cfvo type="percent" val="67"/>
      </iconSet>
    </cfRule>
  </conditionalFormatting>
  <conditionalFormatting sqref="F2:F16">
    <cfRule type="dataBar" priority="4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