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Ventas" sheetId="3" state="visible" r:id="rId3"/>
    <sheet name="Buscador" sheetId="4" state="visible" r:id="rId4"/>
    <sheet name="Resumen" sheetId="5" state="visible" r:id="rId5"/>
    <sheet name="Solu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17 · Buscador y resumen</t>
        </is>
      </c>
    </row>
    <row r="2">
      <c r="A2" s="2" t="n"/>
    </row>
    <row r="3">
      <c r="A3" s="2" t="inlineStr">
        <is>
          <t>Hojas: Productos, Ventas, Buscador y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Buscador!C4:C6: producto, categoría y precio del código de C2 con BUSCARX (cuarto argumento «No existe»).</t>
        </is>
      </c>
    </row>
    <row r="7">
      <c r="A7" s="2" t="inlineStr">
        <is>
          <t>2. Buscador!C7: rango de precio con SI.CONJUNTO (Premium ≥60, Clásico ≥40, Básico).</t>
        </is>
      </c>
    </row>
    <row r="8">
      <c r="A8" s="2" t="inlineStr">
        <is>
          <t>3. Resumen!B2:G4: ventas por sucursal y categoría con SUMAR.SI.CONJUNTO.</t>
        </is>
      </c>
    </row>
    <row r="9">
      <c r="A9" s="2" t="inlineStr">
        <is>
          <t>4. Nivel Experto: C6 con INDICE+COINCIDIR y C9 con FILTRAR (productos de la misma categoría).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9" customWidth="1" min="4" max="4"/>
    <col width="9" customWidth="1" min="5" max="5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  <c r="E1" s="5" t="inlineStr">
        <is>
          <t>Costo</t>
        </is>
      </c>
    </row>
    <row r="2">
      <c r="A2" t="inlineStr">
        <is>
          <t>CAF-001</t>
        </is>
      </c>
      <c r="B2" t="inlineStr">
        <is>
          <t>Espresso</t>
        </is>
      </c>
      <c r="C2" t="inlineStr">
        <is>
          <t>Café caliente</t>
        </is>
      </c>
      <c r="D2" s="6" t="n">
        <v>35</v>
      </c>
      <c r="E2" s="6" t="n">
        <v>8</v>
      </c>
    </row>
    <row r="3">
      <c r="A3" t="inlineStr">
        <is>
          <t>CAF-002</t>
        </is>
      </c>
      <c r="B3" t="inlineStr">
        <is>
          <t>Americano</t>
        </is>
      </c>
      <c r="C3" t="inlineStr">
        <is>
          <t>Café caliente</t>
        </is>
      </c>
      <c r="D3" s="6" t="n">
        <v>40</v>
      </c>
      <c r="E3" s="6" t="n">
        <v>9</v>
      </c>
    </row>
    <row r="4">
      <c r="A4" t="inlineStr">
        <is>
          <t>CAF-003</t>
        </is>
      </c>
      <c r="B4" t="inlineStr">
        <is>
          <t>Capuchino</t>
        </is>
      </c>
      <c r="C4" t="inlineStr">
        <is>
          <t>Café caliente</t>
        </is>
      </c>
      <c r="D4" s="6" t="n">
        <v>52</v>
      </c>
      <c r="E4" s="6" t="n">
        <v>13</v>
      </c>
    </row>
    <row r="5">
      <c r="A5" t="inlineStr">
        <is>
          <t>CAF-004</t>
        </is>
      </c>
      <c r="B5" t="inlineStr">
        <is>
          <t>Latte</t>
        </is>
      </c>
      <c r="C5" t="inlineStr">
        <is>
          <t>Café caliente</t>
        </is>
      </c>
      <c r="D5" s="6" t="n">
        <v>55</v>
      </c>
      <c r="E5" s="6" t="n">
        <v>14</v>
      </c>
    </row>
    <row r="6">
      <c r="A6" t="inlineStr">
        <is>
          <t>CAF-005</t>
        </is>
      </c>
      <c r="B6" t="inlineStr">
        <is>
          <t>Moka</t>
        </is>
      </c>
      <c r="C6" t="inlineStr">
        <is>
          <t>Café caliente</t>
        </is>
      </c>
      <c r="D6" s="6" t="n">
        <v>60</v>
      </c>
      <c r="E6" s="6" t="n">
        <v>16</v>
      </c>
    </row>
    <row r="7">
      <c r="A7" t="inlineStr">
        <is>
          <t>CAF-006</t>
        </is>
      </c>
      <c r="B7" t="inlineStr">
        <is>
          <t>Café de olla</t>
        </is>
      </c>
      <c r="C7" t="inlineStr">
        <is>
          <t>Café caliente</t>
        </is>
      </c>
      <c r="D7" s="6" t="n">
        <v>38</v>
      </c>
      <c r="E7" s="6" t="n">
        <v>8</v>
      </c>
    </row>
    <row r="8">
      <c r="A8" t="inlineStr">
        <is>
          <t>FRI-001</t>
        </is>
      </c>
      <c r="B8" t="inlineStr">
        <is>
          <t>Frappé moka</t>
        </is>
      </c>
      <c r="C8" t="inlineStr">
        <is>
          <t>Café frío</t>
        </is>
      </c>
      <c r="D8" s="6" t="n">
        <v>68</v>
      </c>
      <c r="E8" s="6" t="n">
        <v>18</v>
      </c>
    </row>
    <row r="9">
      <c r="A9" t="inlineStr">
        <is>
          <t>FRI-002</t>
        </is>
      </c>
      <c r="B9" t="inlineStr">
        <is>
          <t>Cold brew</t>
        </is>
      </c>
      <c r="C9" t="inlineStr">
        <is>
          <t>Café frío</t>
        </is>
      </c>
      <c r="D9" s="6" t="n">
        <v>58</v>
      </c>
      <c r="E9" s="6" t="n">
        <v>12</v>
      </c>
    </row>
    <row r="10">
      <c r="A10" t="inlineStr">
        <is>
          <t>FRI-003</t>
        </is>
      </c>
      <c r="B10" t="inlineStr">
        <is>
          <t>Latte helado</t>
        </is>
      </c>
      <c r="C10" t="inlineStr">
        <is>
          <t>Café frío</t>
        </is>
      </c>
      <c r="D10" s="6" t="n">
        <v>58</v>
      </c>
      <c r="E10" s="6" t="n">
        <v>15</v>
      </c>
    </row>
    <row r="11">
      <c r="A11" t="inlineStr">
        <is>
          <t>TE-001</t>
        </is>
      </c>
      <c r="B11" t="inlineStr">
        <is>
          <t>Chai latte</t>
        </is>
      </c>
      <c r="C11" t="inlineStr">
        <is>
          <t>Té</t>
        </is>
      </c>
      <c r="D11" s="6" t="n">
        <v>54</v>
      </c>
      <c r="E11" s="6" t="n">
        <v>14</v>
      </c>
    </row>
    <row r="12">
      <c r="A12" t="inlineStr">
        <is>
          <t>TE-002</t>
        </is>
      </c>
      <c r="B12" t="inlineStr">
        <is>
          <t>Té verde</t>
        </is>
      </c>
      <c r="C12" t="inlineStr">
        <is>
          <t>Té</t>
        </is>
      </c>
      <c r="D12" s="6" t="n">
        <v>38</v>
      </c>
      <c r="E12" s="6" t="n">
        <v>7</v>
      </c>
    </row>
    <row r="13">
      <c r="A13" t="inlineStr">
        <is>
          <t>PAN-001</t>
        </is>
      </c>
      <c r="B13" t="inlineStr">
        <is>
          <t>Croissant</t>
        </is>
      </c>
      <c r="C13" t="inlineStr">
        <is>
          <t>Panadería</t>
        </is>
      </c>
      <c r="D13" s="6" t="n">
        <v>38</v>
      </c>
      <c r="E13" s="6" t="n">
        <v>12</v>
      </c>
    </row>
    <row r="14">
      <c r="A14" t="inlineStr">
        <is>
          <t>PAN-002</t>
        </is>
      </c>
      <c r="B14" t="inlineStr">
        <is>
          <t>Concha</t>
        </is>
      </c>
      <c r="C14" t="inlineStr">
        <is>
          <t>Panadería</t>
        </is>
      </c>
      <c r="D14" s="6" t="n">
        <v>22</v>
      </c>
      <c r="E14" s="6" t="n">
        <v>6</v>
      </c>
    </row>
    <row r="15">
      <c r="A15" t="inlineStr">
        <is>
          <t>PAN-003</t>
        </is>
      </c>
      <c r="B15" t="inlineStr">
        <is>
          <t>Muffin de mora</t>
        </is>
      </c>
      <c r="C15" t="inlineStr">
        <is>
          <t>Panadería</t>
        </is>
      </c>
      <c r="D15" s="6" t="n">
        <v>35</v>
      </c>
      <c r="E15" s="6" t="n">
        <v>10</v>
      </c>
    </row>
    <row r="16">
      <c r="A16" t="inlineStr">
        <is>
          <t>PAN-004</t>
        </is>
      </c>
      <c r="B16" t="inlineStr">
        <is>
          <t>Bagel con queso crema</t>
        </is>
      </c>
      <c r="C16" t="inlineStr">
        <is>
          <t>Panadería</t>
        </is>
      </c>
      <c r="D16" s="6" t="n">
        <v>45</v>
      </c>
      <c r="E16" s="6" t="n">
        <v>15</v>
      </c>
    </row>
    <row r="17">
      <c r="A17" t="inlineStr">
        <is>
          <t>POS-001</t>
        </is>
      </c>
      <c r="B17" t="inlineStr">
        <is>
          <t>Pay de queso</t>
        </is>
      </c>
      <c r="C17" t="inlineStr">
        <is>
          <t>Postres</t>
        </is>
      </c>
      <c r="D17" s="6" t="n">
        <v>55</v>
      </c>
      <c r="E17" s="6" t="n">
        <v>17</v>
      </c>
    </row>
    <row r="18">
      <c r="A18" t="inlineStr">
        <is>
          <t>POS-002</t>
        </is>
      </c>
      <c r="B18" t="inlineStr">
        <is>
          <t>Brownie</t>
        </is>
      </c>
      <c r="C18" t="inlineStr">
        <is>
          <t>Postres</t>
        </is>
      </c>
      <c r="D18" s="6" t="n">
        <v>40</v>
      </c>
      <c r="E18" s="6" t="n">
        <v>11</v>
      </c>
    </row>
    <row r="19">
      <c r="A19" t="inlineStr">
        <is>
          <t>POS-003</t>
        </is>
      </c>
      <c r="B19" t="inlineStr">
        <is>
          <t>Galleta de avena</t>
        </is>
      </c>
      <c r="C19" t="inlineStr">
        <is>
          <t>Postres</t>
        </is>
      </c>
      <c r="D19" s="6" t="n">
        <v>25</v>
      </c>
      <c r="E19" s="6" t="n">
        <v>6</v>
      </c>
    </row>
    <row r="20">
      <c r="A20" t="inlineStr">
        <is>
          <t>ALI-001</t>
        </is>
      </c>
      <c r="B20" t="inlineStr">
        <is>
          <t>Sándwich de pavo</t>
        </is>
      </c>
      <c r="C20" t="inlineStr">
        <is>
          <t>Alimentos</t>
        </is>
      </c>
      <c r="D20" s="6" t="n">
        <v>78</v>
      </c>
      <c r="E20" s="6" t="n">
        <v>30</v>
      </c>
    </row>
    <row r="21">
      <c r="A21" t="inlineStr">
        <is>
          <t>ALI-002</t>
        </is>
      </c>
      <c r="B21" t="inlineStr">
        <is>
          <t>Panini caprese</t>
        </is>
      </c>
      <c r="C21" t="inlineStr">
        <is>
          <t>Alimentos</t>
        </is>
      </c>
      <c r="D21" s="6" t="n">
        <v>85</v>
      </c>
      <c r="E21" s="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7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6" t="n">
        <v>40</v>
      </c>
      <c r="I2" s="6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7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6" t="n">
        <v>38</v>
      </c>
      <c r="I3" s="6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7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6" t="n">
        <v>22</v>
      </c>
      <c r="I4" s="6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7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6" t="n">
        <v>78</v>
      </c>
      <c r="I5" s="6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7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6" t="n">
        <v>35</v>
      </c>
      <c r="I6" s="6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7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6" t="n">
        <v>45</v>
      </c>
      <c r="I7" s="6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7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6" t="n">
        <v>68</v>
      </c>
      <c r="I8" s="6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7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6" t="n">
        <v>52</v>
      </c>
      <c r="I9" s="6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7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6" t="n">
        <v>60</v>
      </c>
      <c r="I10" s="6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7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6" t="n">
        <v>40</v>
      </c>
      <c r="I11" s="6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7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6" t="n">
        <v>38</v>
      </c>
      <c r="I12" s="6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7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6" t="n">
        <v>25</v>
      </c>
      <c r="I13" s="6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7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6" t="n">
        <v>55</v>
      </c>
      <c r="I14" s="6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7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6" t="n">
        <v>22</v>
      </c>
      <c r="I15" s="6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7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6" t="n">
        <v>40</v>
      </c>
      <c r="I16" s="6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7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6" t="n">
        <v>38</v>
      </c>
      <c r="I17" s="6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7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6" t="n">
        <v>22</v>
      </c>
      <c r="I18" s="6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7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6" t="n">
        <v>38</v>
      </c>
      <c r="I19" s="6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7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6" t="n">
        <v>38</v>
      </c>
      <c r="I20" s="6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7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6" t="n">
        <v>60</v>
      </c>
      <c r="I21" s="6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7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6" t="n">
        <v>22</v>
      </c>
      <c r="I22" s="6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7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6" t="n">
        <v>85</v>
      </c>
      <c r="I23" s="6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7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6" t="n">
        <v>55</v>
      </c>
      <c r="I24" s="6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7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6" t="n">
        <v>35</v>
      </c>
      <c r="I25" s="6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7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6" t="n">
        <v>58</v>
      </c>
      <c r="I26" s="6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7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6" t="n">
        <v>40</v>
      </c>
      <c r="I27" s="6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7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6" t="n">
        <v>22</v>
      </c>
      <c r="I28" s="6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7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6" t="n">
        <v>38</v>
      </c>
      <c r="I29" s="6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7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6" t="n">
        <v>38</v>
      </c>
      <c r="I30" s="6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7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6" t="n">
        <v>58</v>
      </c>
      <c r="I31" s="6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7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6" t="n">
        <v>25</v>
      </c>
      <c r="I32" s="6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7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6" t="n">
        <v>25</v>
      </c>
      <c r="I33" s="6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7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6" t="n">
        <v>35</v>
      </c>
      <c r="I34" s="6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7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6" t="n">
        <v>25</v>
      </c>
      <c r="I35" s="6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7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6" t="n">
        <v>78</v>
      </c>
      <c r="I36" s="6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7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6" t="n">
        <v>40</v>
      </c>
      <c r="I37" s="6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7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6" t="n">
        <v>52</v>
      </c>
      <c r="I38" s="6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7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6" t="n">
        <v>52</v>
      </c>
      <c r="I39" s="6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7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6" t="n">
        <v>38</v>
      </c>
      <c r="I40" s="6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7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6" t="n">
        <v>25</v>
      </c>
      <c r="I41" s="6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7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6" t="n">
        <v>68</v>
      </c>
      <c r="I42" s="6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7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6" t="n">
        <v>35</v>
      </c>
      <c r="I43" s="6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7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6" t="n">
        <v>68</v>
      </c>
      <c r="I44" s="6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7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6" t="n">
        <v>35</v>
      </c>
      <c r="I45" s="6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7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6" t="n">
        <v>38</v>
      </c>
      <c r="I46" s="6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7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6" t="n">
        <v>25</v>
      </c>
      <c r="I47" s="6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7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6" t="n">
        <v>55</v>
      </c>
      <c r="I48" s="6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7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6" t="n">
        <v>25</v>
      </c>
      <c r="I49" s="6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7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6" t="n">
        <v>55</v>
      </c>
      <c r="I50" s="6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7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6" t="n">
        <v>78</v>
      </c>
      <c r="I51" s="6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7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6" t="n">
        <v>52</v>
      </c>
      <c r="I52" s="6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7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6" t="n">
        <v>22</v>
      </c>
      <c r="I53" s="6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7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6" t="n">
        <v>55</v>
      </c>
      <c r="I54" s="6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7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6" t="n">
        <v>38</v>
      </c>
      <c r="I55" s="6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7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6" t="n">
        <v>55</v>
      </c>
      <c r="I56" s="6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7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6" t="n">
        <v>55</v>
      </c>
      <c r="I57" s="6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7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6" t="n">
        <v>55</v>
      </c>
      <c r="I58" s="6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7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6" t="n">
        <v>52</v>
      </c>
      <c r="I59" s="6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7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6" t="n">
        <v>85</v>
      </c>
      <c r="I60" s="6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7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6" t="n">
        <v>52</v>
      </c>
      <c r="I61" s="6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7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6" t="n">
        <v>52</v>
      </c>
      <c r="I62" s="6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7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6" t="n">
        <v>25</v>
      </c>
      <c r="I63" s="6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7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6" t="n">
        <v>38</v>
      </c>
      <c r="I64" s="6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7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6" t="n">
        <v>58</v>
      </c>
      <c r="I65" s="6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7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6" t="n">
        <v>38</v>
      </c>
      <c r="I66" s="6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7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6" t="n">
        <v>40</v>
      </c>
      <c r="I67" s="6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7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6" t="n">
        <v>40</v>
      </c>
      <c r="I68" s="6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7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6" t="n">
        <v>25</v>
      </c>
      <c r="I69" s="6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7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6" t="n">
        <v>60</v>
      </c>
      <c r="I70" s="6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7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6" t="n">
        <v>38</v>
      </c>
      <c r="I71" s="6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7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6" t="n">
        <v>60</v>
      </c>
      <c r="I72" s="6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7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6" t="n">
        <v>38</v>
      </c>
      <c r="I73" s="6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7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6" t="n">
        <v>25</v>
      </c>
      <c r="I74" s="6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7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6" t="n">
        <v>38</v>
      </c>
      <c r="I75" s="6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7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6" t="n">
        <v>68</v>
      </c>
      <c r="I76" s="6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7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6" t="n">
        <v>45</v>
      </c>
      <c r="I77" s="6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7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6" t="n">
        <v>55</v>
      </c>
      <c r="I78" s="6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7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6" t="n">
        <v>58</v>
      </c>
      <c r="I79" s="6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7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6" t="n">
        <v>68</v>
      </c>
      <c r="I80" s="6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7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6" t="n">
        <v>52</v>
      </c>
      <c r="I81" s="6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7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6" t="n">
        <v>52</v>
      </c>
      <c r="I82" s="6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7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6" t="n">
        <v>25</v>
      </c>
      <c r="I83" s="6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7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6" t="n">
        <v>52</v>
      </c>
      <c r="I84" s="6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7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6" t="n">
        <v>55</v>
      </c>
      <c r="I85" s="6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7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6" t="n">
        <v>55</v>
      </c>
      <c r="I86" s="6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7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6" t="n">
        <v>35</v>
      </c>
      <c r="I87" s="6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7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6" t="n">
        <v>22</v>
      </c>
      <c r="I88" s="6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7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6" t="n">
        <v>22</v>
      </c>
      <c r="I89" s="6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7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6" t="n">
        <v>38</v>
      </c>
      <c r="I90" s="6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7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6" t="n">
        <v>54</v>
      </c>
      <c r="I91" s="6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7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6" t="n">
        <v>40</v>
      </c>
      <c r="I92" s="6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7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6" t="n">
        <v>22</v>
      </c>
      <c r="I93" s="6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7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6" t="n">
        <v>58</v>
      </c>
      <c r="I94" s="6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7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6" t="n">
        <v>40</v>
      </c>
      <c r="I95" s="6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7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6" t="n">
        <v>38</v>
      </c>
      <c r="I96" s="6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7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6" t="n">
        <v>58</v>
      </c>
      <c r="I97" s="6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7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6" t="n">
        <v>38</v>
      </c>
      <c r="I98" s="6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7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6" t="n">
        <v>35</v>
      </c>
      <c r="I99" s="6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7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6" t="n">
        <v>52</v>
      </c>
      <c r="I100" s="6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7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6" t="n">
        <v>55</v>
      </c>
      <c r="I101" s="6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7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6" t="n">
        <v>22</v>
      </c>
      <c r="I102" s="6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7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6" t="n">
        <v>22</v>
      </c>
      <c r="I103" s="6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7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6" t="n">
        <v>55</v>
      </c>
      <c r="I104" s="6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7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6" t="n">
        <v>58</v>
      </c>
      <c r="I105" s="6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7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6" t="n">
        <v>58</v>
      </c>
      <c r="I106" s="6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7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6" t="n">
        <v>58</v>
      </c>
      <c r="I107" s="6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7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6" t="n">
        <v>55</v>
      </c>
      <c r="I108" s="6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7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6" t="n">
        <v>78</v>
      </c>
      <c r="I109" s="6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7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6" t="n">
        <v>40</v>
      </c>
      <c r="I110" s="6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7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6" t="n">
        <v>52</v>
      </c>
      <c r="I111" s="6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7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6" t="n">
        <v>52</v>
      </c>
      <c r="I112" s="6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7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6" t="n">
        <v>35</v>
      </c>
      <c r="I113" s="6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7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6" t="n">
        <v>54</v>
      </c>
      <c r="I114" s="6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7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6" t="n">
        <v>54</v>
      </c>
      <c r="I115" s="6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7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6" t="n">
        <v>58</v>
      </c>
      <c r="I116" s="6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7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6" t="n">
        <v>60</v>
      </c>
      <c r="I117" s="6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7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6" t="n">
        <v>45</v>
      </c>
      <c r="I118" s="6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7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6" t="n">
        <v>40</v>
      </c>
      <c r="I119" s="6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7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6" t="n">
        <v>55</v>
      </c>
      <c r="I120" s="6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7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6" t="n">
        <v>45</v>
      </c>
      <c r="I121" s="6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7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6" t="n">
        <v>22</v>
      </c>
      <c r="I122" s="6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7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6" t="n">
        <v>55</v>
      </c>
      <c r="I123" s="6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7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6" t="n">
        <v>22</v>
      </c>
      <c r="I124" s="6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7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6" t="n">
        <v>35</v>
      </c>
      <c r="I125" s="6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7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6" t="n">
        <v>38</v>
      </c>
      <c r="I126" s="6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7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6" t="n">
        <v>40</v>
      </c>
      <c r="I127" s="6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7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6" t="n">
        <v>38</v>
      </c>
      <c r="I128" s="6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7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6" t="n">
        <v>54</v>
      </c>
      <c r="I129" s="6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7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6" t="n">
        <v>52</v>
      </c>
      <c r="I130" s="6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7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6" t="n">
        <v>55</v>
      </c>
      <c r="I131" s="6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7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6" t="n">
        <v>40</v>
      </c>
      <c r="I132" s="6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7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6" t="n">
        <v>25</v>
      </c>
      <c r="I133" s="6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7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6" t="n">
        <v>38</v>
      </c>
      <c r="I134" s="6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7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6" t="n">
        <v>58</v>
      </c>
      <c r="I135" s="6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7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6" t="n">
        <v>25</v>
      </c>
      <c r="I136" s="6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7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6" t="n">
        <v>78</v>
      </c>
      <c r="I137" s="6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7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6" t="n">
        <v>58</v>
      </c>
      <c r="I138" s="6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7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6" t="n">
        <v>38</v>
      </c>
      <c r="I139" s="6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7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6" t="n">
        <v>45</v>
      </c>
      <c r="I140" s="6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7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6" t="n">
        <v>58</v>
      </c>
      <c r="I141" s="6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7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6" t="n">
        <v>38</v>
      </c>
      <c r="I142" s="6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7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6" t="n">
        <v>40</v>
      </c>
      <c r="I143" s="6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7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6" t="n">
        <v>52</v>
      </c>
      <c r="I144" s="6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7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6" t="n">
        <v>38</v>
      </c>
      <c r="I145" s="6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7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6" t="n">
        <v>58</v>
      </c>
      <c r="I146" s="6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7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6" t="n">
        <v>60</v>
      </c>
      <c r="I147" s="6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7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6" t="n">
        <v>40</v>
      </c>
      <c r="I148" s="6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7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6" t="n">
        <v>52</v>
      </c>
      <c r="I149" s="6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7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6" t="n">
        <v>52</v>
      </c>
      <c r="I150" s="6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7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6" t="n">
        <v>22</v>
      </c>
      <c r="I151" s="6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7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6" t="n">
        <v>54</v>
      </c>
      <c r="I152" s="6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7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6" t="n">
        <v>52</v>
      </c>
      <c r="I153" s="6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7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6" t="n">
        <v>45</v>
      </c>
      <c r="I154" s="6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7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6" t="n">
        <v>40</v>
      </c>
      <c r="I155" s="6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7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6" t="n">
        <v>58</v>
      </c>
      <c r="I156" s="6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7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6" t="n">
        <v>58</v>
      </c>
      <c r="I157" s="6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7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6" t="n">
        <v>52</v>
      </c>
      <c r="I158" s="6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7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6" t="n">
        <v>40</v>
      </c>
      <c r="I159" s="6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7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6" t="n">
        <v>55</v>
      </c>
      <c r="I160" s="6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7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6" t="n">
        <v>68</v>
      </c>
      <c r="I161" s="6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7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6" t="n">
        <v>40</v>
      </c>
      <c r="I162" s="6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7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6" t="n">
        <v>35</v>
      </c>
      <c r="I163" s="6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7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6" t="n">
        <v>58</v>
      </c>
      <c r="I164" s="6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7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6" t="n">
        <v>38</v>
      </c>
      <c r="I165" s="6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7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6" t="n">
        <v>22</v>
      </c>
      <c r="I166" s="6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7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6" t="n">
        <v>22</v>
      </c>
      <c r="I167" s="6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7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6" t="n">
        <v>55</v>
      </c>
      <c r="I168" s="6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7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6" t="n">
        <v>55</v>
      </c>
      <c r="I169" s="6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7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6" t="n">
        <v>25</v>
      </c>
      <c r="I170" s="6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7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6" t="n">
        <v>52</v>
      </c>
      <c r="I171" s="6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7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6" t="n">
        <v>55</v>
      </c>
      <c r="I172" s="6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7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6" t="n">
        <v>58</v>
      </c>
      <c r="I173" s="6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7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6" t="n">
        <v>58</v>
      </c>
      <c r="I174" s="6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7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6" t="n">
        <v>54</v>
      </c>
      <c r="I175" s="6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7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6" t="n">
        <v>55</v>
      </c>
      <c r="I176" s="6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7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6" t="n">
        <v>60</v>
      </c>
      <c r="I177" s="6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7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6" t="n">
        <v>40</v>
      </c>
      <c r="I178" s="6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7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6" t="n">
        <v>38</v>
      </c>
      <c r="I179" s="6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7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6" t="n">
        <v>40</v>
      </c>
      <c r="I180" s="6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7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6" t="n">
        <v>55</v>
      </c>
      <c r="I181" s="6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7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6" t="n">
        <v>40</v>
      </c>
      <c r="I182" s="6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7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6" t="n">
        <v>60</v>
      </c>
      <c r="I183" s="6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7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6" t="n">
        <v>58</v>
      </c>
      <c r="I184" s="6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7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6" t="n">
        <v>25</v>
      </c>
      <c r="I185" s="6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7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6" t="n">
        <v>22</v>
      </c>
      <c r="I186" s="6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7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6" t="n">
        <v>78</v>
      </c>
      <c r="I187" s="6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7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6" t="n">
        <v>54</v>
      </c>
      <c r="I188" s="6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7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6" t="n">
        <v>58</v>
      </c>
      <c r="I189" s="6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7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6" t="n">
        <v>25</v>
      </c>
      <c r="I190" s="6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7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6" t="n">
        <v>38</v>
      </c>
      <c r="I191" s="6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7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6" t="n">
        <v>38</v>
      </c>
      <c r="I192" s="6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7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6" t="n">
        <v>40</v>
      </c>
      <c r="I193" s="6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7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6" t="n">
        <v>55</v>
      </c>
      <c r="I194" s="6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7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6" t="n">
        <v>58</v>
      </c>
      <c r="I195" s="6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7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6" t="n">
        <v>58</v>
      </c>
      <c r="I196" s="6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7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6" t="n">
        <v>25</v>
      </c>
      <c r="I197" s="6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7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6" t="n">
        <v>60</v>
      </c>
      <c r="I198" s="6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7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6" t="n">
        <v>35</v>
      </c>
      <c r="I199" s="6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7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6" t="n">
        <v>38</v>
      </c>
      <c r="I200" s="6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7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6" t="n">
        <v>22</v>
      </c>
      <c r="I201" s="6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7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6" t="n">
        <v>38</v>
      </c>
      <c r="I202" s="6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7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6" t="n">
        <v>38</v>
      </c>
      <c r="I203" s="6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7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6" t="n">
        <v>45</v>
      </c>
      <c r="I204" s="6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7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6" t="n">
        <v>45</v>
      </c>
      <c r="I205" s="6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7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6" t="n">
        <v>85</v>
      </c>
      <c r="I206" s="6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7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6" t="n">
        <v>55</v>
      </c>
      <c r="I207" s="6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7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6" t="n">
        <v>58</v>
      </c>
      <c r="I208" s="6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7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6" t="n">
        <v>38</v>
      </c>
      <c r="I209" s="6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7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6" t="n">
        <v>58</v>
      </c>
      <c r="I210" s="6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7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6" t="n">
        <v>40</v>
      </c>
      <c r="I211" s="6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7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6" t="n">
        <v>52</v>
      </c>
      <c r="I212" s="6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7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6" t="n">
        <v>35</v>
      </c>
      <c r="I213" s="6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7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6" t="n">
        <v>40</v>
      </c>
      <c r="I214" s="6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7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6" t="n">
        <v>55</v>
      </c>
      <c r="I215" s="6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7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6" t="n">
        <v>35</v>
      </c>
      <c r="I216" s="6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7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6" t="n">
        <v>68</v>
      </c>
      <c r="I217" s="6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7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6" t="n">
        <v>25</v>
      </c>
      <c r="I218" s="6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7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6" t="n">
        <v>52</v>
      </c>
      <c r="I219" s="6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7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6" t="n">
        <v>22</v>
      </c>
      <c r="I220" s="6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7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6" t="n">
        <v>40</v>
      </c>
      <c r="I221" s="6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7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6" t="n">
        <v>38</v>
      </c>
      <c r="I222" s="6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7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6" t="n">
        <v>78</v>
      </c>
      <c r="I223" s="6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7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6" t="n">
        <v>52</v>
      </c>
      <c r="I224" s="6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7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6" t="n">
        <v>40</v>
      </c>
      <c r="I225" s="6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7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6" t="n">
        <v>60</v>
      </c>
      <c r="I226" s="6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7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6" t="n">
        <v>38</v>
      </c>
      <c r="I227" s="6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7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6" t="n">
        <v>35</v>
      </c>
      <c r="I228" s="6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7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6" t="n">
        <v>38</v>
      </c>
      <c r="I229" s="6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7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6" t="n">
        <v>60</v>
      </c>
      <c r="I230" s="6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7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6" t="n">
        <v>40</v>
      </c>
      <c r="I231" s="6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7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6" t="n">
        <v>45</v>
      </c>
      <c r="I232" s="6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7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6" t="n">
        <v>60</v>
      </c>
      <c r="I233" s="6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7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6" t="n">
        <v>38</v>
      </c>
      <c r="I234" s="6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7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6" t="n">
        <v>22</v>
      </c>
      <c r="I235" s="6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7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6" t="n">
        <v>55</v>
      </c>
      <c r="I236" s="6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7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6" t="n">
        <v>52</v>
      </c>
      <c r="I237" s="6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7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6" t="n">
        <v>58</v>
      </c>
      <c r="I238" s="6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7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6" t="n">
        <v>68</v>
      </c>
      <c r="I239" s="6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7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6" t="n">
        <v>55</v>
      </c>
      <c r="I240" s="6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7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6" t="n">
        <v>52</v>
      </c>
      <c r="I241" s="6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7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6" t="n">
        <v>60</v>
      </c>
      <c r="I242" s="6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7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6" t="n">
        <v>85</v>
      </c>
      <c r="I243" s="6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7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6" t="n">
        <v>55</v>
      </c>
      <c r="I244" s="6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7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6" t="n">
        <v>35</v>
      </c>
      <c r="I245" s="6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7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6" t="n">
        <v>25</v>
      </c>
      <c r="I246" s="6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7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6" t="n">
        <v>35</v>
      </c>
      <c r="I247" s="6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7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6" t="n">
        <v>55</v>
      </c>
      <c r="I248" s="6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7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6" t="n">
        <v>54</v>
      </c>
      <c r="I249" s="6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7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6" t="n">
        <v>54</v>
      </c>
      <c r="I250" s="6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7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6" t="n">
        <v>22</v>
      </c>
      <c r="I251" s="6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7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6" t="n">
        <v>68</v>
      </c>
      <c r="I252" s="6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7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6" t="n">
        <v>68</v>
      </c>
      <c r="I253" s="6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7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6" t="n">
        <v>35</v>
      </c>
      <c r="I254" s="6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7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6" t="n">
        <v>54</v>
      </c>
      <c r="I255" s="6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7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6" t="n">
        <v>35</v>
      </c>
      <c r="I256" s="6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7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6" t="n">
        <v>55</v>
      </c>
      <c r="I257" s="6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7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6" t="n">
        <v>68</v>
      </c>
      <c r="I258" s="6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7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6" t="n">
        <v>55</v>
      </c>
      <c r="I259" s="6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7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6" t="n">
        <v>38</v>
      </c>
      <c r="I260" s="6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7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6" t="n">
        <v>22</v>
      </c>
      <c r="I261" s="6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7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6" t="n">
        <v>55</v>
      </c>
      <c r="I262" s="6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7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6" t="n">
        <v>40</v>
      </c>
      <c r="I263" s="6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7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6" t="n">
        <v>22</v>
      </c>
      <c r="I264" s="6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7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6" t="n">
        <v>40</v>
      </c>
      <c r="I265" s="6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7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6" t="n">
        <v>85</v>
      </c>
      <c r="I266" s="6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7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6" t="n">
        <v>68</v>
      </c>
      <c r="I267" s="6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7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6" t="n">
        <v>22</v>
      </c>
      <c r="I268" s="6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7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6" t="n">
        <v>52</v>
      </c>
      <c r="I269" s="6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7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6" t="n">
        <v>22</v>
      </c>
      <c r="I270" s="6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7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6" t="n">
        <v>52</v>
      </c>
      <c r="I271" s="6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7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6" t="n">
        <v>38</v>
      </c>
      <c r="I272" s="6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7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6" t="n">
        <v>58</v>
      </c>
      <c r="I273" s="6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7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6" t="n">
        <v>35</v>
      </c>
      <c r="I274" s="6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7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6" t="n">
        <v>68</v>
      </c>
      <c r="I275" s="6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7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6" t="n">
        <v>58</v>
      </c>
      <c r="I276" s="6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7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6" t="n">
        <v>68</v>
      </c>
      <c r="I277" s="6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7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6" t="n">
        <v>58</v>
      </c>
      <c r="I278" s="6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7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6" t="n">
        <v>38</v>
      </c>
      <c r="I279" s="6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7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6" t="n">
        <v>68</v>
      </c>
      <c r="I280" s="6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7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6" t="n">
        <v>55</v>
      </c>
      <c r="I281" s="6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7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6" t="n">
        <v>58</v>
      </c>
      <c r="I282" s="6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7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6" t="n">
        <v>55</v>
      </c>
      <c r="I283" s="6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7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6" t="n">
        <v>85</v>
      </c>
      <c r="I284" s="6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7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6" t="n">
        <v>55</v>
      </c>
      <c r="I285" s="6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7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6" t="n">
        <v>25</v>
      </c>
      <c r="I286" s="6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7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6" t="n">
        <v>52</v>
      </c>
      <c r="I287" s="6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7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6" t="n">
        <v>38</v>
      </c>
      <c r="I288" s="6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7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6" t="n">
        <v>52</v>
      </c>
      <c r="I289" s="6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7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6" t="n">
        <v>38</v>
      </c>
      <c r="I290" s="6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7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6" t="n">
        <v>52</v>
      </c>
      <c r="I291" s="6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7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6" t="n">
        <v>68</v>
      </c>
      <c r="I292" s="6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7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6" t="n">
        <v>58</v>
      </c>
      <c r="I293" s="6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7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6" t="n">
        <v>35</v>
      </c>
      <c r="I294" s="6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7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6" t="n">
        <v>38</v>
      </c>
      <c r="I295" s="6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7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6" t="n">
        <v>35</v>
      </c>
      <c r="I296" s="6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7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6" t="n">
        <v>55</v>
      </c>
      <c r="I297" s="6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7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6" t="n">
        <v>55</v>
      </c>
      <c r="I298" s="6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7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6" t="n">
        <v>38</v>
      </c>
      <c r="I299" s="6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7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6" t="n">
        <v>55</v>
      </c>
      <c r="I300" s="6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7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6" t="n">
        <v>38</v>
      </c>
      <c r="I301" s="6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7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6" t="n">
        <v>58</v>
      </c>
      <c r="I302" s="6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7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6" t="n">
        <v>38</v>
      </c>
      <c r="I303" s="6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7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6" t="n">
        <v>52</v>
      </c>
      <c r="I304" s="6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7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6" t="n">
        <v>22</v>
      </c>
      <c r="I305" s="6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7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6" t="n">
        <v>38</v>
      </c>
      <c r="I306" s="6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7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6" t="n">
        <v>55</v>
      </c>
      <c r="I307" s="6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7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6" t="n">
        <v>68</v>
      </c>
      <c r="I308" s="6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7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6" t="n">
        <v>38</v>
      </c>
      <c r="I309" s="6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7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6" t="n">
        <v>68</v>
      </c>
      <c r="I310" s="6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7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6" t="n">
        <v>38</v>
      </c>
      <c r="I311" s="6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7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6" t="n">
        <v>45</v>
      </c>
      <c r="I312" s="6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7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6" t="n">
        <v>40</v>
      </c>
      <c r="I313" s="6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7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6" t="n">
        <v>55</v>
      </c>
      <c r="I314" s="6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7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6" t="n">
        <v>38</v>
      </c>
      <c r="I315" s="6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7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6" t="n">
        <v>38</v>
      </c>
      <c r="I316" s="6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7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6" t="n">
        <v>38</v>
      </c>
      <c r="I317" s="6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7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6" t="n">
        <v>60</v>
      </c>
      <c r="I318" s="6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7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6" t="n">
        <v>68</v>
      </c>
      <c r="I319" s="6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7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6" t="n">
        <v>55</v>
      </c>
      <c r="I320" s="6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7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6" t="n">
        <v>78</v>
      </c>
      <c r="I321" s="6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7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6" t="n">
        <v>68</v>
      </c>
      <c r="I322" s="6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7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6" t="n">
        <v>40</v>
      </c>
      <c r="I323" s="6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7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6" t="n">
        <v>38</v>
      </c>
      <c r="I324" s="6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7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6" t="n">
        <v>55</v>
      </c>
      <c r="I325" s="6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7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6" t="n">
        <v>38</v>
      </c>
      <c r="I326" s="6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7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6" t="n">
        <v>40</v>
      </c>
      <c r="I327" s="6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7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6" t="n">
        <v>52</v>
      </c>
      <c r="I328" s="6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7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6" t="n">
        <v>68</v>
      </c>
      <c r="I329" s="6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7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6" t="n">
        <v>85</v>
      </c>
      <c r="I330" s="6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7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6" t="n">
        <v>38</v>
      </c>
      <c r="I331" s="6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7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6" t="n">
        <v>40</v>
      </c>
      <c r="I332" s="6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7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6" t="n">
        <v>54</v>
      </c>
      <c r="I333" s="6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7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6" t="n">
        <v>78</v>
      </c>
      <c r="I334" s="6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7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6" t="n">
        <v>68</v>
      </c>
      <c r="I335" s="6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7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6" t="n">
        <v>22</v>
      </c>
      <c r="I336" s="6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7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6" t="n">
        <v>25</v>
      </c>
      <c r="I337" s="6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7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6" t="n">
        <v>35</v>
      </c>
      <c r="I338" s="6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7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6" t="n">
        <v>54</v>
      </c>
      <c r="I339" s="6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7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6" t="n">
        <v>38</v>
      </c>
      <c r="I340" s="6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7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6" t="n">
        <v>52</v>
      </c>
      <c r="I341" s="6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7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6" t="n">
        <v>22</v>
      </c>
      <c r="I342" s="6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7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6" t="n">
        <v>58</v>
      </c>
      <c r="I343" s="6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7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6" t="n">
        <v>35</v>
      </c>
      <c r="I344" s="6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7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6" t="n">
        <v>78</v>
      </c>
      <c r="I345" s="6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7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6" t="n">
        <v>55</v>
      </c>
      <c r="I346" s="6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7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6" t="n">
        <v>38</v>
      </c>
      <c r="I347" s="6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7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6" t="n">
        <v>68</v>
      </c>
      <c r="I348" s="6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7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6" t="n">
        <v>55</v>
      </c>
      <c r="I349" s="6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7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6" t="n">
        <v>54</v>
      </c>
      <c r="I350" s="6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7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6" t="n">
        <v>58</v>
      </c>
      <c r="I351" s="6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7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6" t="n">
        <v>38</v>
      </c>
      <c r="I352" s="6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7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6" t="n">
        <v>52</v>
      </c>
      <c r="I353" s="6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7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6" t="n">
        <v>38</v>
      </c>
      <c r="I354" s="6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7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6" t="n">
        <v>38</v>
      </c>
      <c r="I355" s="6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7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6" t="n">
        <v>78</v>
      </c>
      <c r="I356" s="6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7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6" t="n">
        <v>58</v>
      </c>
      <c r="I357" s="6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7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6" t="n">
        <v>55</v>
      </c>
      <c r="I358" s="6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7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6" t="n">
        <v>38</v>
      </c>
      <c r="I359" s="6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7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6" t="n">
        <v>35</v>
      </c>
      <c r="I360" s="6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7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6" t="n">
        <v>60</v>
      </c>
      <c r="I361" s="6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7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6" t="n">
        <v>22</v>
      </c>
      <c r="I362" s="6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7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6" t="n">
        <v>58</v>
      </c>
      <c r="I363" s="6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7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6" t="n">
        <v>55</v>
      </c>
      <c r="I364" s="6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7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6" t="n">
        <v>85</v>
      </c>
      <c r="I365" s="6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7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6" t="n">
        <v>68</v>
      </c>
      <c r="I366" s="6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7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6" t="n">
        <v>35</v>
      </c>
      <c r="I367" s="6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7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6" t="n">
        <v>55</v>
      </c>
      <c r="I368" s="6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7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6" t="n">
        <v>85</v>
      </c>
      <c r="I369" s="6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7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6" t="n">
        <v>22</v>
      </c>
      <c r="I370" s="6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7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6" t="n">
        <v>25</v>
      </c>
      <c r="I371" s="6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7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6" t="n">
        <v>85</v>
      </c>
      <c r="I372" s="6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7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6" t="n">
        <v>40</v>
      </c>
      <c r="I373" s="6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7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6" t="n">
        <v>78</v>
      </c>
      <c r="I374" s="6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7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6" t="n">
        <v>78</v>
      </c>
      <c r="I375" s="6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7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6" t="n">
        <v>52</v>
      </c>
      <c r="I376" s="6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7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6" t="n">
        <v>40</v>
      </c>
      <c r="I377" s="6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7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6" t="n">
        <v>55</v>
      </c>
      <c r="I378" s="6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7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6" t="n">
        <v>58</v>
      </c>
      <c r="I379" s="6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7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6" t="n">
        <v>38</v>
      </c>
      <c r="I380" s="6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7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6" t="n">
        <v>22</v>
      </c>
      <c r="I381" s="6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7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6" t="n">
        <v>35</v>
      </c>
      <c r="I382" s="6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7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6" t="n">
        <v>40</v>
      </c>
      <c r="I383" s="6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7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6" t="n">
        <v>55</v>
      </c>
      <c r="I384" s="6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7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6" t="n">
        <v>60</v>
      </c>
      <c r="I385" s="6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7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6" t="n">
        <v>78</v>
      </c>
      <c r="I386" s="6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7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6" t="n">
        <v>58</v>
      </c>
      <c r="I387" s="6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7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6" t="n">
        <v>68</v>
      </c>
      <c r="I388" s="6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7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6" t="n">
        <v>22</v>
      </c>
      <c r="I389" s="6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7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6" t="n">
        <v>40</v>
      </c>
      <c r="I390" s="6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7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6" t="n">
        <v>58</v>
      </c>
      <c r="I391" s="6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7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6" t="n">
        <v>45</v>
      </c>
      <c r="I392" s="6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7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6" t="n">
        <v>35</v>
      </c>
      <c r="I393" s="6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7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6" t="n">
        <v>78</v>
      </c>
      <c r="I394" s="6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7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6" t="n">
        <v>55</v>
      </c>
      <c r="I395" s="6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7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6" t="n">
        <v>78</v>
      </c>
      <c r="I396" s="6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7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6" t="n">
        <v>35</v>
      </c>
      <c r="I397" s="6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7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6" t="n">
        <v>68</v>
      </c>
      <c r="I398" s="6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7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6" t="n">
        <v>38</v>
      </c>
      <c r="I399" s="6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7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6" t="n">
        <v>58</v>
      </c>
      <c r="I400" s="6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7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6" t="n">
        <v>45</v>
      </c>
      <c r="I401" s="6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7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6" t="n">
        <v>40</v>
      </c>
      <c r="I402" s="6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7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6" t="n">
        <v>54</v>
      </c>
      <c r="I403" s="6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7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6" t="n">
        <v>40</v>
      </c>
      <c r="I404" s="6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7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6" t="n">
        <v>38</v>
      </c>
      <c r="I405" s="6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7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6" t="n">
        <v>35</v>
      </c>
      <c r="I406" s="6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7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6" t="n">
        <v>55</v>
      </c>
      <c r="I407" s="6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7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6" t="n">
        <v>25</v>
      </c>
      <c r="I408" s="6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7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6" t="n">
        <v>38</v>
      </c>
      <c r="I409" s="6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7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6" t="n">
        <v>38</v>
      </c>
      <c r="I410" s="6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7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6" t="n">
        <v>52</v>
      </c>
      <c r="I411" s="6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7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6" t="n">
        <v>22</v>
      </c>
      <c r="I412" s="6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7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6" t="n">
        <v>52</v>
      </c>
      <c r="I413" s="6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7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6" t="n">
        <v>68</v>
      </c>
      <c r="I414" s="6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7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6" t="n">
        <v>58</v>
      </c>
      <c r="I415" s="6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7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6" t="n">
        <v>35</v>
      </c>
      <c r="I416" s="6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7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6" t="n">
        <v>38</v>
      </c>
      <c r="I417" s="6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7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6" t="n">
        <v>40</v>
      </c>
      <c r="I418" s="6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7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6" t="n">
        <v>22</v>
      </c>
      <c r="I419" s="6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7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6" t="n">
        <v>40</v>
      </c>
      <c r="I420" s="6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7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6" t="n">
        <v>38</v>
      </c>
      <c r="I421" s="6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7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6" t="n">
        <v>60</v>
      </c>
      <c r="I422" s="6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7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6" t="n">
        <v>78</v>
      </c>
      <c r="I423" s="6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7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6" t="n">
        <v>58</v>
      </c>
      <c r="I424" s="6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7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6" t="n">
        <v>85</v>
      </c>
      <c r="I425" s="6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7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6" t="n">
        <v>38</v>
      </c>
      <c r="I426" s="6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7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6" t="n">
        <v>25</v>
      </c>
      <c r="I427" s="6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7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6" t="n">
        <v>40</v>
      </c>
      <c r="I428" s="6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7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6" t="n">
        <v>45</v>
      </c>
      <c r="I429" s="6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7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6" t="n">
        <v>40</v>
      </c>
      <c r="I430" s="6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7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6" t="n">
        <v>25</v>
      </c>
      <c r="I431" s="6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7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6" t="n">
        <v>40</v>
      </c>
      <c r="I432" s="6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7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6" t="n">
        <v>55</v>
      </c>
      <c r="I433" s="6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7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6" t="n">
        <v>25</v>
      </c>
      <c r="I434" s="6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7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6" t="n">
        <v>52</v>
      </c>
      <c r="I435" s="6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7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6" t="n">
        <v>55</v>
      </c>
      <c r="I436" s="6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7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6" t="n">
        <v>40</v>
      </c>
      <c r="I437" s="6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7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6" t="n">
        <v>40</v>
      </c>
      <c r="I438" s="6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7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6" t="n">
        <v>60</v>
      </c>
      <c r="I439" s="6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7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6" t="n">
        <v>38</v>
      </c>
      <c r="I440" s="6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7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6" t="n">
        <v>52</v>
      </c>
      <c r="I441" s="6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7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6" t="n">
        <v>60</v>
      </c>
      <c r="I442" s="6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7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6" t="n">
        <v>40</v>
      </c>
      <c r="I443" s="6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7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6" t="n">
        <v>38</v>
      </c>
      <c r="I444" s="6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7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6" t="n">
        <v>38</v>
      </c>
      <c r="I445" s="6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7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6" t="n">
        <v>55</v>
      </c>
      <c r="I446" s="6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7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6" t="n">
        <v>25</v>
      </c>
      <c r="I447" s="6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7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6" t="n">
        <v>40</v>
      </c>
      <c r="I448" s="6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7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6" t="n">
        <v>52</v>
      </c>
      <c r="I449" s="6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7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6" t="n">
        <v>22</v>
      </c>
      <c r="I450" s="6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7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6" t="n">
        <v>35</v>
      </c>
      <c r="I451" s="6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7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6" t="n">
        <v>60</v>
      </c>
      <c r="I452" s="6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7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6" t="n">
        <v>38</v>
      </c>
      <c r="I453" s="6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7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6" t="n">
        <v>78</v>
      </c>
      <c r="I454" s="6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7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6" t="n">
        <v>38</v>
      </c>
      <c r="I455" s="6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7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6" t="n">
        <v>35</v>
      </c>
      <c r="I456" s="6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7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6" t="n">
        <v>68</v>
      </c>
      <c r="I457" s="6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7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6" t="n">
        <v>68</v>
      </c>
      <c r="I458" s="6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7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6" t="n">
        <v>60</v>
      </c>
      <c r="I459" s="6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7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6" t="n">
        <v>78</v>
      </c>
      <c r="I460" s="6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7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6" t="n">
        <v>54</v>
      </c>
      <c r="I461" s="6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7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6" t="n">
        <v>55</v>
      </c>
      <c r="I462" s="6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7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6" t="n">
        <v>60</v>
      </c>
      <c r="I463" s="6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7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6" t="n">
        <v>68</v>
      </c>
      <c r="I464" s="6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7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6" t="n">
        <v>38</v>
      </c>
      <c r="I465" s="6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7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6" t="n">
        <v>58</v>
      </c>
      <c r="I466" s="6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7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6" t="n">
        <v>22</v>
      </c>
      <c r="I467" s="6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7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6" t="n">
        <v>25</v>
      </c>
      <c r="I468" s="6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7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6" t="n">
        <v>78</v>
      </c>
      <c r="I469" s="6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7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6" t="n">
        <v>55</v>
      </c>
      <c r="I470" s="6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7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6" t="n">
        <v>25</v>
      </c>
      <c r="I471" s="6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7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6" t="n">
        <v>40</v>
      </c>
      <c r="I472" s="6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7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6" t="n">
        <v>35</v>
      </c>
      <c r="I473" s="6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7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6" t="n">
        <v>22</v>
      </c>
      <c r="I474" s="6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7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6" t="n">
        <v>78</v>
      </c>
      <c r="I475" s="6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7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6" t="n">
        <v>45</v>
      </c>
      <c r="I476" s="6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7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6" t="n">
        <v>35</v>
      </c>
      <c r="I477" s="6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7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6" t="n">
        <v>58</v>
      </c>
      <c r="I478" s="6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7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6" t="n">
        <v>52</v>
      </c>
      <c r="I479" s="6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7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6" t="n">
        <v>58</v>
      </c>
      <c r="I480" s="6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7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6" t="n">
        <v>68</v>
      </c>
      <c r="I481" s="6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7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6" t="n">
        <v>35</v>
      </c>
      <c r="I482" s="6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7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6" t="n">
        <v>40</v>
      </c>
      <c r="I483" s="6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7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6" t="n">
        <v>55</v>
      </c>
      <c r="I484" s="6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7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6" t="n">
        <v>58</v>
      </c>
      <c r="I485" s="6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7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6" t="n">
        <v>38</v>
      </c>
      <c r="I486" s="6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7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6" t="n">
        <v>40</v>
      </c>
      <c r="I487" s="6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7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6" t="n">
        <v>45</v>
      </c>
      <c r="I488" s="6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7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6" t="n">
        <v>40</v>
      </c>
      <c r="I489" s="6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7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6" t="n">
        <v>25</v>
      </c>
      <c r="I490" s="6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7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6" t="n">
        <v>55</v>
      </c>
      <c r="I491" s="6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7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6" t="n">
        <v>25</v>
      </c>
      <c r="I492" s="6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7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6" t="n">
        <v>38</v>
      </c>
      <c r="I493" s="6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7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6" t="n">
        <v>22</v>
      </c>
      <c r="I494" s="6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7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6" t="n">
        <v>78</v>
      </c>
      <c r="I495" s="6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7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6" t="n">
        <v>52</v>
      </c>
      <c r="I496" s="6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7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6" t="n">
        <v>58</v>
      </c>
      <c r="I497" s="6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7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6" t="n">
        <v>55</v>
      </c>
      <c r="I498" s="6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7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6" t="n">
        <v>60</v>
      </c>
      <c r="I499" s="6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7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6" t="n">
        <v>25</v>
      </c>
      <c r="I500" s="6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7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6" t="n">
        <v>58</v>
      </c>
      <c r="I501" s="6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7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6" t="n">
        <v>54</v>
      </c>
      <c r="I502" s="6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7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6" t="n">
        <v>55</v>
      </c>
      <c r="I503" s="6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7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6" t="n">
        <v>78</v>
      </c>
      <c r="I504" s="6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7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6" t="n">
        <v>52</v>
      </c>
      <c r="I505" s="6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7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6" t="n">
        <v>55</v>
      </c>
      <c r="I506" s="6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7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6" t="n">
        <v>45</v>
      </c>
      <c r="I507" s="6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7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6" t="n">
        <v>45</v>
      </c>
      <c r="I508" s="6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7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6" t="n">
        <v>35</v>
      </c>
      <c r="I509" s="6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7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6" t="n">
        <v>52</v>
      </c>
      <c r="I510" s="6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7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6" t="n">
        <v>52</v>
      </c>
      <c r="I511" s="6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7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6" t="n">
        <v>40</v>
      </c>
      <c r="I512" s="6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7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6" t="n">
        <v>68</v>
      </c>
      <c r="I513" s="6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7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6" t="n">
        <v>40</v>
      </c>
      <c r="I514" s="6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7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6" t="n">
        <v>22</v>
      </c>
      <c r="I515" s="6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7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6" t="n">
        <v>38</v>
      </c>
      <c r="I516" s="6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7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6" t="n">
        <v>78</v>
      </c>
      <c r="I517" s="6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7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6" t="n">
        <v>45</v>
      </c>
      <c r="I518" s="6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7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6" t="n">
        <v>58</v>
      </c>
      <c r="I519" s="6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7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6" t="n">
        <v>38</v>
      </c>
      <c r="I520" s="6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7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6" t="n">
        <v>22</v>
      </c>
      <c r="I521" s="6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7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6" t="n">
        <v>40</v>
      </c>
      <c r="I522" s="6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7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6" t="n">
        <v>40</v>
      </c>
      <c r="I523" s="6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7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6" t="n">
        <v>52</v>
      </c>
      <c r="I524" s="6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7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6" t="n">
        <v>54</v>
      </c>
      <c r="I525" s="6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7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6" t="n">
        <v>38</v>
      </c>
      <c r="I526" s="6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7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6" t="n">
        <v>22</v>
      </c>
      <c r="I527" s="6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7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6" t="n">
        <v>68</v>
      </c>
      <c r="I528" s="6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7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6" t="n">
        <v>38</v>
      </c>
      <c r="I529" s="6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7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6" t="n">
        <v>45</v>
      </c>
      <c r="I530" s="6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7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6" t="n">
        <v>25</v>
      </c>
      <c r="I531" s="6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7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6" t="n">
        <v>55</v>
      </c>
      <c r="I532" s="6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7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6" t="n">
        <v>55</v>
      </c>
      <c r="I533" s="6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7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6" t="n">
        <v>58</v>
      </c>
      <c r="I534" s="6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7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6" t="n">
        <v>40</v>
      </c>
      <c r="I535" s="6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7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6" t="n">
        <v>22</v>
      </c>
      <c r="I536" s="6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7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6" t="n">
        <v>55</v>
      </c>
      <c r="I537" s="6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7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6" t="n">
        <v>22</v>
      </c>
      <c r="I538" s="6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7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6" t="n">
        <v>78</v>
      </c>
      <c r="I539" s="6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7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6" t="n">
        <v>55</v>
      </c>
      <c r="I540" s="6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7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6" t="n">
        <v>52</v>
      </c>
      <c r="I541" s="6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7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6" t="n">
        <v>58</v>
      </c>
      <c r="I542" s="6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7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6" t="n">
        <v>40</v>
      </c>
      <c r="I543" s="6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7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6" t="n">
        <v>35</v>
      </c>
      <c r="I544" s="6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7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6" t="n">
        <v>78</v>
      </c>
      <c r="I545" s="6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7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6" t="n">
        <v>52</v>
      </c>
      <c r="I546" s="6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7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6" t="n">
        <v>45</v>
      </c>
      <c r="I547" s="6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7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6" t="n">
        <v>52</v>
      </c>
      <c r="I548" s="6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7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6" t="n">
        <v>68</v>
      </c>
      <c r="I549" s="6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7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6" t="n">
        <v>58</v>
      </c>
      <c r="I550" s="6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7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6" t="n">
        <v>35</v>
      </c>
      <c r="I551" s="6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7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6" t="n">
        <v>58</v>
      </c>
      <c r="I552" s="6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7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6" t="n">
        <v>55</v>
      </c>
      <c r="I553" s="6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7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6" t="n">
        <v>58</v>
      </c>
      <c r="I554" s="6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7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6" t="n">
        <v>40</v>
      </c>
      <c r="I555" s="6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7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6" t="n">
        <v>38</v>
      </c>
      <c r="I556" s="6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7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6" t="n">
        <v>55</v>
      </c>
      <c r="I557" s="6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7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6" t="n">
        <v>58</v>
      </c>
      <c r="I558" s="6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7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6" t="n">
        <v>38</v>
      </c>
      <c r="I559" s="6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7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6" t="n">
        <v>22</v>
      </c>
      <c r="I560" s="6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7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6" t="n">
        <v>35</v>
      </c>
      <c r="I561" s="6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7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6" t="n">
        <v>38</v>
      </c>
      <c r="I562" s="6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7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6" t="n">
        <v>55</v>
      </c>
      <c r="I563" s="6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7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6" t="n">
        <v>68</v>
      </c>
      <c r="I564" s="6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7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6" t="n">
        <v>58</v>
      </c>
      <c r="I565" s="6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7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6" t="n">
        <v>38</v>
      </c>
      <c r="I566" s="6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7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6" t="n">
        <v>60</v>
      </c>
      <c r="I567" s="6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7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6" t="n">
        <v>55</v>
      </c>
      <c r="I568" s="6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7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6" t="n">
        <v>40</v>
      </c>
      <c r="I569" s="6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7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6" t="n">
        <v>22</v>
      </c>
      <c r="I570" s="6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7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6" t="n">
        <v>52</v>
      </c>
      <c r="I571" s="6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7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6" t="n">
        <v>58</v>
      </c>
      <c r="I572" s="6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7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6" t="n">
        <v>52</v>
      </c>
      <c r="I573" s="6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7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6" t="n">
        <v>40</v>
      </c>
      <c r="I574" s="6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7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6" t="n">
        <v>68</v>
      </c>
      <c r="I575" s="6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7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6" t="n">
        <v>54</v>
      </c>
      <c r="I576" s="6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7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6" t="n">
        <v>40</v>
      </c>
      <c r="I577" s="6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7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6" t="n">
        <v>35</v>
      </c>
      <c r="I578" s="6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7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6" t="n">
        <v>55</v>
      </c>
      <c r="I579" s="6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7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6" t="n">
        <v>58</v>
      </c>
      <c r="I580" s="6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7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6" t="n">
        <v>35</v>
      </c>
      <c r="I581" s="6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7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6" t="n">
        <v>35</v>
      </c>
      <c r="I582" s="6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7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6" t="n">
        <v>55</v>
      </c>
      <c r="I583" s="6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7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6" t="n">
        <v>38</v>
      </c>
      <c r="I584" s="6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7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6" t="n">
        <v>60</v>
      </c>
      <c r="I585" s="6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7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6" t="n">
        <v>38</v>
      </c>
      <c r="I586" s="6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7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6" t="n">
        <v>60</v>
      </c>
      <c r="I587" s="6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7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6" t="n">
        <v>52</v>
      </c>
      <c r="I588" s="6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7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6" t="n">
        <v>38</v>
      </c>
      <c r="I589" s="6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7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6" t="n">
        <v>68</v>
      </c>
      <c r="I590" s="6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7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6" t="n">
        <v>52</v>
      </c>
      <c r="I591" s="6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7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6" t="n">
        <v>55</v>
      </c>
      <c r="I592" s="6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7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6" t="n">
        <v>40</v>
      </c>
      <c r="I593" s="6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7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6" t="n">
        <v>68</v>
      </c>
      <c r="I594" s="6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7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6" t="n">
        <v>68</v>
      </c>
      <c r="I595" s="6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7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6" t="n">
        <v>52</v>
      </c>
      <c r="I596" s="6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7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6" t="n">
        <v>55</v>
      </c>
      <c r="I597" s="6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7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6" t="n">
        <v>40</v>
      </c>
      <c r="I598" s="6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7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6" t="n">
        <v>60</v>
      </c>
      <c r="I599" s="6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7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6" t="n">
        <v>38</v>
      </c>
      <c r="I600" s="6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7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6" t="n">
        <v>35</v>
      </c>
      <c r="I601" s="6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7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6" t="n">
        <v>58</v>
      </c>
      <c r="I602" s="6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7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6" t="n">
        <v>38</v>
      </c>
      <c r="I603" s="6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7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6" t="n">
        <v>22</v>
      </c>
      <c r="I604" s="6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7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6" t="n">
        <v>58</v>
      </c>
      <c r="I605" s="6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7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6" t="n">
        <v>85</v>
      </c>
      <c r="I606" s="6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7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6" t="n">
        <v>55</v>
      </c>
      <c r="I607" s="6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7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6" t="n">
        <v>60</v>
      </c>
      <c r="I608" s="6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7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6" t="n">
        <v>68</v>
      </c>
      <c r="I609" s="6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7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6" t="n">
        <v>38</v>
      </c>
      <c r="I610" s="6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7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6" t="n">
        <v>38</v>
      </c>
      <c r="I611" s="6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7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6" t="n">
        <v>40</v>
      </c>
      <c r="I612" s="6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7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6" t="n">
        <v>40</v>
      </c>
      <c r="I613" s="6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7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6" t="n">
        <v>52</v>
      </c>
      <c r="I614" s="6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7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6" t="n">
        <v>25</v>
      </c>
      <c r="I615" s="6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7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6" t="n">
        <v>58</v>
      </c>
      <c r="I616" s="6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7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6" t="n">
        <v>38</v>
      </c>
      <c r="I617" s="6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7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6" t="n">
        <v>38</v>
      </c>
      <c r="I618" s="6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7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6" t="n">
        <v>78</v>
      </c>
      <c r="I619" s="6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7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6" t="n">
        <v>68</v>
      </c>
      <c r="I620" s="6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7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6" t="n">
        <v>38</v>
      </c>
      <c r="I621" s="6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7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6" t="n">
        <v>22</v>
      </c>
      <c r="I622" s="6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7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6" t="n">
        <v>52</v>
      </c>
      <c r="I623" s="6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7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6" t="n">
        <v>25</v>
      </c>
      <c r="I624" s="6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7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6" t="n">
        <v>85</v>
      </c>
      <c r="I625" s="6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7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6" t="n">
        <v>35</v>
      </c>
      <c r="I626" s="6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7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6" t="n">
        <v>40</v>
      </c>
      <c r="I627" s="6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7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6" t="n">
        <v>35</v>
      </c>
      <c r="I628" s="6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7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6" t="n">
        <v>38</v>
      </c>
      <c r="I629" s="6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7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6" t="n">
        <v>54</v>
      </c>
      <c r="I630" s="6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7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6" t="n">
        <v>68</v>
      </c>
      <c r="I631" s="6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7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6" t="n">
        <v>68</v>
      </c>
      <c r="I632" s="6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7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6" t="n">
        <v>55</v>
      </c>
      <c r="I633" s="6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7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6" t="n">
        <v>60</v>
      </c>
      <c r="I634" s="6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7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6" t="n">
        <v>78</v>
      </c>
      <c r="I635" s="6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7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6" t="n">
        <v>35</v>
      </c>
      <c r="I636" s="6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7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6" t="n">
        <v>68</v>
      </c>
      <c r="I637" s="6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7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6" t="n">
        <v>58</v>
      </c>
      <c r="I638" s="6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7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6" t="n">
        <v>58</v>
      </c>
      <c r="I639" s="6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7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6" t="n">
        <v>55</v>
      </c>
      <c r="I640" s="6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7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6" t="n">
        <v>25</v>
      </c>
      <c r="I641" s="6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7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6" t="n">
        <v>38</v>
      </c>
      <c r="I642" s="6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7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6" t="n">
        <v>38</v>
      </c>
      <c r="I643" s="6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7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6" t="n">
        <v>25</v>
      </c>
      <c r="I644" s="6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7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6" t="n">
        <v>45</v>
      </c>
      <c r="I645" s="6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7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6" t="n">
        <v>58</v>
      </c>
      <c r="I646" s="6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7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6" t="n">
        <v>40</v>
      </c>
      <c r="I647" s="6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7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6" t="n">
        <v>25</v>
      </c>
      <c r="I648" s="6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7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6" t="n">
        <v>55</v>
      </c>
      <c r="I649" s="6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7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6" t="n">
        <v>68</v>
      </c>
      <c r="I650" s="6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7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6" t="n">
        <v>40</v>
      </c>
      <c r="I651" s="6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7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6" t="n">
        <v>60</v>
      </c>
      <c r="I652" s="6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7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6" t="n">
        <v>78</v>
      </c>
      <c r="I653" s="6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7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6" t="n">
        <v>38</v>
      </c>
      <c r="I654" s="6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7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6" t="n">
        <v>38</v>
      </c>
      <c r="I655" s="6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7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6" t="n">
        <v>22</v>
      </c>
      <c r="I656" s="6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7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6" t="n">
        <v>78</v>
      </c>
      <c r="I657" s="6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7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6" t="n">
        <v>35</v>
      </c>
      <c r="I658" s="6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7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6" t="n">
        <v>45</v>
      </c>
      <c r="I659" s="6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7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6" t="n">
        <v>85</v>
      </c>
      <c r="I660" s="6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7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6" t="n">
        <v>22</v>
      </c>
      <c r="I661" s="6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7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6" t="n">
        <v>40</v>
      </c>
      <c r="I662" s="6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7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6" t="n">
        <v>68</v>
      </c>
      <c r="I663" s="6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7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6" t="n">
        <v>58</v>
      </c>
      <c r="I664" s="6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7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6" t="n">
        <v>38</v>
      </c>
      <c r="I665" s="6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7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6" t="n">
        <v>52</v>
      </c>
      <c r="I666" s="6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7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6" t="n">
        <v>38</v>
      </c>
      <c r="I667" s="6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7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6" t="n">
        <v>55</v>
      </c>
      <c r="I668" s="6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7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6" t="n">
        <v>58</v>
      </c>
      <c r="I669" s="6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7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6" t="n">
        <v>58</v>
      </c>
      <c r="I670" s="6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7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6" t="n">
        <v>54</v>
      </c>
      <c r="I671" s="6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7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6" t="n">
        <v>55</v>
      </c>
      <c r="I672" s="6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7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6" t="n">
        <v>38</v>
      </c>
      <c r="I673" s="6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7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6" t="n">
        <v>60</v>
      </c>
      <c r="I674" s="6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7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6" t="n">
        <v>40</v>
      </c>
      <c r="I675" s="6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7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6" t="n">
        <v>40</v>
      </c>
      <c r="I676" s="6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7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6" t="n">
        <v>40</v>
      </c>
      <c r="I677" s="6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7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6" t="n">
        <v>52</v>
      </c>
      <c r="I678" s="6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7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6" t="n">
        <v>22</v>
      </c>
      <c r="I679" s="6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7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6" t="n">
        <v>40</v>
      </c>
      <c r="I680" s="6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7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6" t="n">
        <v>58</v>
      </c>
      <c r="I681" s="6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7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6" t="n">
        <v>55</v>
      </c>
      <c r="I682" s="6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7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6" t="n">
        <v>68</v>
      </c>
      <c r="I683" s="6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7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6" t="n">
        <v>68</v>
      </c>
      <c r="I684" s="6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7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6" t="n">
        <v>45</v>
      </c>
      <c r="I685" s="6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7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6" t="n">
        <v>78</v>
      </c>
      <c r="I686" s="6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7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6" t="n">
        <v>40</v>
      </c>
      <c r="I687" s="6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7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6" t="n">
        <v>55</v>
      </c>
      <c r="I688" s="6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7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6" t="n">
        <v>40</v>
      </c>
      <c r="I689" s="6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7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6" t="n">
        <v>52</v>
      </c>
      <c r="I690" s="6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7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6" t="n">
        <v>78</v>
      </c>
      <c r="I691" s="6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7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6" t="n">
        <v>40</v>
      </c>
      <c r="I692" s="6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7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6" t="n">
        <v>60</v>
      </c>
      <c r="I693" s="6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7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6" t="n">
        <v>35</v>
      </c>
      <c r="I694" s="6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7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6" t="n">
        <v>60</v>
      </c>
      <c r="I695" s="6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7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6" t="n">
        <v>52</v>
      </c>
      <c r="I696" s="6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7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6" t="n">
        <v>25</v>
      </c>
      <c r="I697" s="6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7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6" t="n">
        <v>38</v>
      </c>
      <c r="I698" s="6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7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6" t="n">
        <v>55</v>
      </c>
      <c r="I699" s="6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7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6" t="n">
        <v>55</v>
      </c>
      <c r="I700" s="6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7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6" t="n">
        <v>68</v>
      </c>
      <c r="I701" s="6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7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6" t="n">
        <v>40</v>
      </c>
      <c r="I702" s="6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7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6" t="n">
        <v>52</v>
      </c>
      <c r="I703" s="6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7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6" t="n">
        <v>68</v>
      </c>
      <c r="I704" s="6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7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6" t="n">
        <v>55</v>
      </c>
      <c r="I705" s="6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7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6" t="n">
        <v>68</v>
      </c>
      <c r="I706" s="6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7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6" t="n">
        <v>40</v>
      </c>
      <c r="I707" s="6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7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6" t="n">
        <v>78</v>
      </c>
      <c r="I708" s="6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7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6" t="n">
        <v>60</v>
      </c>
      <c r="I709" s="6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7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6" t="n">
        <v>58</v>
      </c>
      <c r="I710" s="6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7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6" t="n">
        <v>22</v>
      </c>
      <c r="I711" s="6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7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6" t="n">
        <v>35</v>
      </c>
      <c r="I712" s="6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7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6" t="n">
        <v>22</v>
      </c>
      <c r="I713" s="6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7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6" t="n">
        <v>40</v>
      </c>
      <c r="I714" s="6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7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6" t="n">
        <v>55</v>
      </c>
      <c r="I715" s="6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7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6" t="n">
        <v>58</v>
      </c>
      <c r="I716" s="6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7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6" t="n">
        <v>35</v>
      </c>
      <c r="I717" s="6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7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6" t="n">
        <v>35</v>
      </c>
      <c r="I718" s="6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7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6" t="n">
        <v>52</v>
      </c>
      <c r="I719" s="6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7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6" t="n">
        <v>22</v>
      </c>
      <c r="I720" s="6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7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6" t="n">
        <v>22</v>
      </c>
      <c r="I721" s="6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</cols>
  <sheetData>
    <row r="1">
      <c r="B1" s="8" t="inlineStr">
        <is>
          <t>Buscador de productos</t>
        </is>
      </c>
    </row>
    <row r="2">
      <c r="B2" t="inlineStr">
        <is>
          <t>Código:</t>
        </is>
      </c>
      <c r="C2" s="9" t="inlineStr">
        <is>
          <t>CAF-004</t>
        </is>
      </c>
    </row>
    <row r="4">
      <c r="B4" s="10" t="inlineStr">
        <is>
          <t>Producto</t>
        </is>
      </c>
      <c r="C4">
        <f>_xlfn.XLOOKUP(C2,Productos!A2:A21,Productos!B2:B21,"No existe")</f>
        <v/>
      </c>
    </row>
    <row r="5">
      <c r="B5" s="10" t="inlineStr">
        <is>
          <t>Categoría</t>
        </is>
      </c>
      <c r="C5">
        <f>_xlfn.XLOOKUP(C2,Productos!A2:A21,Productos!C2:C21,"No existe")</f>
        <v/>
      </c>
    </row>
    <row r="6">
      <c r="B6" s="10" t="inlineStr">
        <is>
          <t>Precio</t>
        </is>
      </c>
      <c r="C6" s="6">
        <f>INDEX(Productos!D2:D21,MATCH(C2,Productos!A2:A21,0))</f>
        <v/>
      </c>
    </row>
    <row r="7">
      <c r="B7" s="10" t="inlineStr">
        <is>
          <t>Rango de precio</t>
        </is>
      </c>
      <c r="C7">
        <f>_xlfn.IFS(C6&gt;=60,"Premium",C6&gt;=40,"Clásico",TRUE,"Básico")</f>
        <v/>
      </c>
    </row>
    <row r="9">
      <c r="B9" s="10" t="inlineStr">
        <is>
          <t>Misma categoría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Sucursal \ Categoría</t>
        </is>
      </c>
      <c r="B1" s="5" t="inlineStr">
        <is>
          <t>Café caliente</t>
        </is>
      </c>
      <c r="C1" s="5" t="inlineStr">
        <is>
          <t>Café frío</t>
        </is>
      </c>
      <c r="D1" s="5" t="inlineStr">
        <is>
          <t>Té</t>
        </is>
      </c>
      <c r="E1" s="5" t="inlineStr">
        <is>
          <t>Panadería</t>
        </is>
      </c>
      <c r="F1" s="5" t="inlineStr">
        <is>
          <t>Postres</t>
        </is>
      </c>
      <c r="G1" s="5" t="inlineStr">
        <is>
          <t>Alimentos</t>
        </is>
      </c>
    </row>
    <row r="2">
      <c r="A2" s="10" t="inlineStr">
        <is>
          <t>Centro</t>
        </is>
      </c>
      <c r="B2" s="6">
        <f>SUMIFS(Ventas!$I:$I,Ventas!$C:$C,$A2,Ventas!$F:$F,B$1)</f>
        <v/>
      </c>
      <c r="C2" s="6">
        <f>SUMIFS(Ventas!$I:$I,Ventas!$C:$C,$A2,Ventas!$F:$F,C$1)</f>
        <v/>
      </c>
      <c r="D2" s="6">
        <f>SUMIFS(Ventas!$I:$I,Ventas!$C:$C,$A2,Ventas!$F:$F,D$1)</f>
        <v/>
      </c>
      <c r="E2" s="6">
        <f>SUMIFS(Ventas!$I:$I,Ventas!$C:$C,$A2,Ventas!$F:$F,E$1)</f>
        <v/>
      </c>
      <c r="F2" s="6">
        <f>SUMIFS(Ventas!$I:$I,Ventas!$C:$C,$A2,Ventas!$F:$F,F$1)</f>
        <v/>
      </c>
      <c r="G2" s="6">
        <f>SUMIFS(Ventas!$I:$I,Ventas!$C:$C,$A2,Ventas!$F:$F,G$1)</f>
        <v/>
      </c>
    </row>
    <row r="3">
      <c r="A3" s="10" t="inlineStr">
        <is>
          <t>Norte</t>
        </is>
      </c>
      <c r="B3" s="6">
        <f>SUMIFS(Ventas!$I:$I,Ventas!$C:$C,$A3,Ventas!$F:$F,B$1)</f>
        <v/>
      </c>
      <c r="C3" s="6">
        <f>SUMIFS(Ventas!$I:$I,Ventas!$C:$C,$A3,Ventas!$F:$F,C$1)</f>
        <v/>
      </c>
      <c r="D3" s="6">
        <f>SUMIFS(Ventas!$I:$I,Ventas!$C:$C,$A3,Ventas!$F:$F,D$1)</f>
        <v/>
      </c>
      <c r="E3" s="6">
        <f>SUMIFS(Ventas!$I:$I,Ventas!$C:$C,$A3,Ventas!$F:$F,E$1)</f>
        <v/>
      </c>
      <c r="F3" s="6">
        <f>SUMIFS(Ventas!$I:$I,Ventas!$C:$C,$A3,Ventas!$F:$F,F$1)</f>
        <v/>
      </c>
      <c r="G3" s="6">
        <f>SUMIFS(Ventas!$I:$I,Ventas!$C:$C,$A3,Ventas!$F:$F,G$1)</f>
        <v/>
      </c>
    </row>
    <row r="4">
      <c r="A4" s="10" t="inlineStr">
        <is>
          <t>Sur</t>
        </is>
      </c>
      <c r="B4" s="6">
        <f>SUMIFS(Ventas!$I:$I,Ventas!$C:$C,$A4,Ventas!$F:$F,B$1)</f>
        <v/>
      </c>
      <c r="C4" s="6">
        <f>SUMIFS(Ventas!$I:$I,Ventas!$C:$C,$A4,Ventas!$F:$F,C$1)</f>
        <v/>
      </c>
      <c r="D4" s="6">
        <f>SUMIFS(Ventas!$I:$I,Ventas!$C:$C,$A4,Ventas!$F:$F,D$1)</f>
        <v/>
      </c>
      <c r="E4" s="6">
        <f>SUMIFS(Ventas!$I:$I,Ventas!$C:$C,$A4,Ventas!$F:$F,E$1)</f>
        <v/>
      </c>
      <c r="F4" s="6">
        <f>SUMIFS(Ventas!$I:$I,Ventas!$C:$C,$A4,Ventas!$F:$F,F$1)</f>
        <v/>
      </c>
      <c r="G4" s="6">
        <f>SUMIFS(Ventas!$I:$I,Ventas!$C:$C,$A4,Ventas!$F:$F,G$1)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C9 (Experto): =FILTRAR(Productos!B2:B21, Productos!C2:C21=C5). openpyxl no escribe matrices dinámicas: escríbela en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