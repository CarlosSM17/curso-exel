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Ventas" sheetId="2" state="visible" r:id="rId2"/>
  </sheets>
  <definedNames>
    <definedName name="Meta">Ventas!$F$1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8 · Comisiones de noviembre</t>
        </is>
      </c>
    </row>
    <row r="2">
      <c r="A2" s="2" t="n"/>
    </row>
    <row r="3">
      <c r="A3" s="2" t="inlineStr">
        <is>
          <t>Mismo cálculo de comisiones con las ventas de noviembre, y un resumen por sucursal.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D2:D21: comisión = ventas × tasa (F2) si las ventas alcanzan la meta (F1); si no, 0.</t>
        </is>
      </c>
    </row>
    <row r="7">
      <c r="A7" s="2" t="inlineStr">
        <is>
          <t>2. F4: cuántos vendedores alcanzaron la meta (CONTAR.SI).</t>
        </is>
      </c>
    </row>
    <row r="8">
      <c r="A8" s="2" t="inlineStr">
        <is>
          <t>3. F8:F10: comisiones de cada sucursal (SUMAR.SI).</t>
        </is>
      </c>
    </row>
    <row r="9">
      <c r="A9" s="2" t="inlineStr">
        <is>
          <t>4. Nivel Experto: nombre «Meta» para F1 usado en la columna D; G8:G10 promedio de ventas por sucursal (PROMEDIO.SI).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2" customWidth="1" min="4" max="4"/>
    <col width="20" customWidth="1" min="5" max="5"/>
    <col width="13" customWidth="1" min="6" max="6"/>
    <col width="18" customWidth="1" min="7" max="7"/>
  </cols>
  <sheetData>
    <row r="1">
      <c r="A1" s="5" t="inlineStr">
        <is>
          <t>Vendedor</t>
        </is>
      </c>
      <c r="B1" s="5" t="inlineStr">
        <is>
          <t>Sucursal</t>
        </is>
      </c>
      <c r="C1" s="5" t="inlineStr">
        <is>
          <t>Ventas del mes</t>
        </is>
      </c>
      <c r="D1" s="5" t="inlineStr">
        <is>
          <t>Comisión</t>
        </is>
      </c>
      <c r="E1" s="6" t="inlineStr">
        <is>
          <t>Meta mensual</t>
        </is>
      </c>
      <c r="F1" s="7" t="n">
        <v>10000</v>
      </c>
    </row>
    <row r="2">
      <c r="A2" t="inlineStr">
        <is>
          <t>Andrea Solís</t>
        </is>
      </c>
      <c r="B2" t="inlineStr">
        <is>
          <t>Centro</t>
        </is>
      </c>
      <c r="C2" s="7" t="n">
        <v>11200</v>
      </c>
      <c r="D2" s="8">
        <f>IF(C2&gt;=Meta,C2*$F$2,0)</f>
        <v/>
      </c>
      <c r="E2" s="6" t="inlineStr">
        <is>
          <t>Tasa de comisión</t>
        </is>
      </c>
      <c r="F2" s="9" t="n">
        <v>0.05</v>
      </c>
    </row>
    <row r="3">
      <c r="A3" t="inlineStr">
        <is>
          <t>Bruno Castillo</t>
        </is>
      </c>
      <c r="B3" t="inlineStr">
        <is>
          <t>Centro</t>
        </is>
      </c>
      <c r="C3" s="7" t="n">
        <v>10050</v>
      </c>
      <c r="D3" s="8">
        <f>IF(C3&gt;=Meta,C3*$F$2,0)</f>
        <v/>
      </c>
    </row>
    <row r="4">
      <c r="A4" t="inlineStr">
        <is>
          <t>Carla Núñez</t>
        </is>
      </c>
      <c r="B4" t="inlineStr">
        <is>
          <t>Centro</t>
        </is>
      </c>
      <c r="C4" s="7" t="n">
        <v>8700</v>
      </c>
      <c r="D4" s="8">
        <f>IF(C4&gt;=Meta,C4*$F$2,0)</f>
        <v/>
      </c>
      <c r="E4" s="6" t="inlineStr">
        <is>
          <t>Alcanzaron la meta</t>
        </is>
      </c>
      <c r="F4">
        <f>COUNTIF(C2:C21,"&gt;="&amp;F1)</f>
        <v/>
      </c>
    </row>
    <row r="5">
      <c r="A5" t="inlineStr">
        <is>
          <t>Daniel Pineda</t>
        </is>
      </c>
      <c r="B5" t="inlineStr">
        <is>
          <t>Centro</t>
        </is>
      </c>
      <c r="C5" s="7" t="n">
        <v>9999</v>
      </c>
      <c r="D5" s="8">
        <f>IF(C5&gt;=Meta,C5*$F$2,0)</f>
        <v/>
      </c>
    </row>
    <row r="6">
      <c r="A6" t="inlineStr">
        <is>
          <t>Elena Robles</t>
        </is>
      </c>
      <c r="B6" t="inlineStr">
        <is>
          <t>Centro</t>
        </is>
      </c>
      <c r="C6" s="7" t="n">
        <v>16800</v>
      </c>
      <c r="D6" s="8">
        <f>IF(C6&gt;=Meta,C6*$F$2,0)</f>
        <v/>
      </c>
    </row>
    <row r="7">
      <c r="A7" t="inlineStr">
        <is>
          <t>Fernando Ibarra</t>
        </is>
      </c>
      <c r="B7" t="inlineStr">
        <is>
          <t>Centro</t>
        </is>
      </c>
      <c r="C7" s="7" t="n">
        <v>12400</v>
      </c>
      <c r="D7" s="8">
        <f>IF(C7&gt;=Meta,C7*$F$2,0)</f>
        <v/>
      </c>
      <c r="E7" s="6" t="inlineStr">
        <is>
          <t>Sucursal</t>
        </is>
      </c>
      <c r="F7" s="6" t="inlineStr">
        <is>
          <t>Comisiones</t>
        </is>
      </c>
      <c r="G7" s="6" t="inlineStr">
        <is>
          <t>Promedio de ventas</t>
        </is>
      </c>
    </row>
    <row r="8">
      <c r="A8" t="inlineStr">
        <is>
          <t>Gabriela Luna</t>
        </is>
      </c>
      <c r="B8" t="inlineStr">
        <is>
          <t>Centro</t>
        </is>
      </c>
      <c r="C8" s="7" t="n">
        <v>7600</v>
      </c>
      <c r="D8" s="8">
        <f>IF(C8&gt;=Meta,C8*$F$2,0)</f>
        <v/>
      </c>
      <c r="E8" t="inlineStr">
        <is>
          <t>Centro</t>
        </is>
      </c>
      <c r="F8" s="8">
        <f>SUMIF($B$2:$B$21,E8,$D$2:$D$21)</f>
        <v/>
      </c>
      <c r="G8" s="7">
        <f>AVERAGEIF($B$2:$B$21,E8,$C$2:$C$21)</f>
        <v/>
      </c>
    </row>
    <row r="9">
      <c r="A9" t="inlineStr">
        <is>
          <t>Héctor Vargas</t>
        </is>
      </c>
      <c r="B9" t="inlineStr">
        <is>
          <t>Norte</t>
        </is>
      </c>
      <c r="C9" s="7" t="n">
        <v>10000</v>
      </c>
      <c r="D9" s="8">
        <f>IF(C9&gt;=Meta,C9*$F$2,0)</f>
        <v/>
      </c>
      <c r="E9" t="inlineStr">
        <is>
          <t>Norte</t>
        </is>
      </c>
      <c r="F9" s="8">
        <f>SUMIF($B$2:$B$21,E9,$D$2:$D$21)</f>
        <v/>
      </c>
      <c r="G9" s="7">
        <f>AVERAGEIF($B$2:$B$21,E9,$C$2:$C$21)</f>
        <v/>
      </c>
    </row>
    <row r="10">
      <c r="A10" t="inlineStr">
        <is>
          <t>Isabel Cruz</t>
        </is>
      </c>
      <c r="B10" t="inlineStr">
        <is>
          <t>Norte</t>
        </is>
      </c>
      <c r="C10" s="7" t="n">
        <v>15100</v>
      </c>
      <c r="D10" s="8">
        <f>IF(C10&gt;=Meta,C10*$F$2,0)</f>
        <v/>
      </c>
      <c r="E10" t="inlineStr">
        <is>
          <t>Sur</t>
        </is>
      </c>
      <c r="F10" s="8">
        <f>SUMIF($B$2:$B$21,E10,$D$2:$D$21)</f>
        <v/>
      </c>
      <c r="G10" s="7">
        <f>AVERAGEIF($B$2:$B$21,E10,$C$2:$C$21)</f>
        <v/>
      </c>
    </row>
    <row r="11">
      <c r="A11" t="inlineStr">
        <is>
          <t>Jorge Medina</t>
        </is>
      </c>
      <c r="B11" t="inlineStr">
        <is>
          <t>Norte</t>
        </is>
      </c>
      <c r="C11" s="7" t="n">
        <v>8450</v>
      </c>
      <c r="D11" s="8">
        <f>IF(C11&gt;=Meta,C11*$F$2,0)</f>
        <v/>
      </c>
    </row>
    <row r="12">
      <c r="A12" t="inlineStr">
        <is>
          <t>Karen Salazar</t>
        </is>
      </c>
      <c r="B12" t="inlineStr">
        <is>
          <t>Norte</t>
        </is>
      </c>
      <c r="C12" s="7" t="n">
        <v>9300</v>
      </c>
      <c r="D12" s="8">
        <f>IF(C12&gt;=Meta,C12*$F$2,0)</f>
        <v/>
      </c>
    </row>
    <row r="13">
      <c r="A13" t="inlineStr">
        <is>
          <t>Leonardo Ríos</t>
        </is>
      </c>
      <c r="B13" t="inlineStr">
        <is>
          <t>Norte</t>
        </is>
      </c>
      <c r="C13" s="7" t="n">
        <v>13750</v>
      </c>
      <c r="D13" s="8">
        <f>IF(C13&gt;=Meta,C13*$F$2,0)</f>
        <v/>
      </c>
    </row>
    <row r="14">
      <c r="A14" t="inlineStr">
        <is>
          <t>Mariana Paredes</t>
        </is>
      </c>
      <c r="B14" t="inlineStr">
        <is>
          <t>Norte</t>
        </is>
      </c>
      <c r="C14" s="7" t="n">
        <v>10600</v>
      </c>
      <c r="D14" s="8">
        <f>IF(C14&gt;=Meta,C14*$F$2,0)</f>
        <v/>
      </c>
    </row>
    <row r="15">
      <c r="A15" t="inlineStr">
        <is>
          <t>Nicolás Herrera</t>
        </is>
      </c>
      <c r="B15" t="inlineStr">
        <is>
          <t>Sur</t>
        </is>
      </c>
      <c r="C15" s="7" t="n">
        <v>7900</v>
      </c>
      <c r="D15" s="8">
        <f>IF(C15&gt;=Meta,C15*$F$2,0)</f>
        <v/>
      </c>
    </row>
    <row r="16">
      <c r="A16" t="inlineStr">
        <is>
          <t>Olivia Campos</t>
        </is>
      </c>
      <c r="B16" t="inlineStr">
        <is>
          <t>Sur</t>
        </is>
      </c>
      <c r="C16" s="7" t="n">
        <v>12950</v>
      </c>
      <c r="D16" s="8">
        <f>IF(C16&gt;=Meta,C16*$F$2,0)</f>
        <v/>
      </c>
    </row>
    <row r="17">
      <c r="A17" t="inlineStr">
        <is>
          <t>Pablo Aguilar</t>
        </is>
      </c>
      <c r="B17" t="inlineStr">
        <is>
          <t>Sur</t>
        </is>
      </c>
      <c r="C17" s="7" t="n">
        <v>11100</v>
      </c>
      <c r="D17" s="8">
        <f>IF(C17&gt;=Meta,C17*$F$2,0)</f>
        <v/>
      </c>
    </row>
    <row r="18">
      <c r="A18" t="inlineStr">
        <is>
          <t>Regina Fuentes</t>
        </is>
      </c>
      <c r="B18" t="inlineStr">
        <is>
          <t>Sur</t>
        </is>
      </c>
      <c r="C18" s="7" t="n">
        <v>6400</v>
      </c>
      <c r="D18" s="8">
        <f>IF(C18&gt;=Meta,C18*$F$2,0)</f>
        <v/>
      </c>
    </row>
    <row r="19">
      <c r="A19" t="inlineStr">
        <is>
          <t>Sergio Mendoza</t>
        </is>
      </c>
      <c r="B19" t="inlineStr">
        <is>
          <t>Sur</t>
        </is>
      </c>
      <c r="C19" s="7" t="n">
        <v>10300</v>
      </c>
      <c r="D19" s="8">
        <f>IF(C19&gt;=Meta,C19*$F$2,0)</f>
        <v/>
      </c>
    </row>
    <row r="20">
      <c r="A20" t="inlineStr">
        <is>
          <t>Tania Guzmán</t>
        </is>
      </c>
      <c r="B20" t="inlineStr">
        <is>
          <t>Sur</t>
        </is>
      </c>
      <c r="C20" s="7" t="n">
        <v>9800</v>
      </c>
      <c r="D20" s="8">
        <f>IF(C20&gt;=Meta,C20*$F$2,0)</f>
        <v/>
      </c>
    </row>
    <row r="21">
      <c r="A21" t="inlineStr">
        <is>
          <t>Valeria Ochoa</t>
        </is>
      </c>
      <c r="B21" t="inlineStr">
        <is>
          <t>Sur</t>
        </is>
      </c>
      <c r="C21" s="7" t="n">
        <v>14200</v>
      </c>
      <c r="D21" s="8">
        <f>IF(C21&gt;=Meta,C21*$F$2,0)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