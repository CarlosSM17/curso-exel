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Cor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hh:mm"/>
    <numFmt numFmtId="165" formatCode="$#,##0.00"/>
  </numFmts>
  <fonts count="5">
    <font>
      <name val="Calibri"/>
      <family val="2"/>
      <color theme="1"/>
      <sz val="11"/>
      <scheme val="minor"/>
    </font>
    <font>
      <b val="1"/>
      <color rgb="005B3A29"/>
      <sz val="16"/>
    </font>
    <font>
      <b val="1"/>
    </font>
    <font>
      <i val="1"/>
      <color rgb="007A4D0E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F3EB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0" pivotButton="0" quotePrefix="0" xfId="0"/>
    <xf numFmtId="0" fontId="4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Laboratorio 2 · Corte de caja de la sucursal Norte</t>
        </is>
      </c>
    </row>
    <row r="2">
      <c r="A2" s="2" t="n"/>
    </row>
    <row r="3">
      <c r="A3" s="2" t="inlineStr">
        <is>
          <t>Mismo corte que en el simulador, con los tickets de otro día.</t>
        </is>
      </c>
    </row>
    <row r="4">
      <c r="A4" s="2" t="n"/>
    </row>
    <row r="5">
      <c r="A5" s="3" t="inlineStr">
        <is>
          <t>Lo que debes hacer</t>
        </is>
      </c>
    </row>
    <row r="6">
      <c r="A6" s="2" t="inlineStr">
        <is>
          <t>1. Calcula el importe de cada ticket en la columna F (cantidad × precio).</t>
        </is>
      </c>
    </row>
    <row r="7">
      <c r="A7" s="2" t="inlineStr">
        <is>
          <t>2. Completa I2:I6 con SUMA, PROMEDIO, MAX, MIN y CONTAR sobre la columna F.</t>
        </is>
      </c>
    </row>
    <row r="8">
      <c r="A8" s="2" t="inlineStr">
        <is>
          <t>3. Calcula en I10 la diferencia de caja: dinero contado − (fondo inicial + total vendido).</t>
        </is>
      </c>
    </row>
    <row r="9">
      <c r="A9" s="2" t="inlineStr">
        <is>
          <t>4. Nivel Experto: en I11 calcula el IVA incluido en las ventas (precios con 16 % de IVA).</t>
        </is>
      </c>
    </row>
    <row r="10">
      <c r="A10" s="2" t="n"/>
    </row>
    <row r="11">
      <c r="A11" s="4" t="inlineStr">
        <is>
          <t>Importante: no cambies los nombres de las hojas ni muevas los datos de lugar. Al terminar, guarda el libro y súbelo en la página del módulo (etapa 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10" customWidth="1" min="4" max="4"/>
    <col width="10" customWidth="1" min="5" max="5"/>
    <col width="12" customWidth="1" min="6" max="6"/>
    <col width="3" customWidth="1" min="7" max="7"/>
    <col width="26" customWidth="1" min="8" max="8"/>
    <col width="13" customWidth="1" min="9" max="9"/>
  </cols>
  <sheetData>
    <row r="1">
      <c r="A1" s="5" t="inlineStr">
        <is>
          <t>Ticket</t>
        </is>
      </c>
      <c r="B1" s="5" t="inlineStr">
        <is>
          <t>Hora</t>
        </is>
      </c>
      <c r="C1" s="5" t="inlineStr">
        <is>
          <t>Producto</t>
        </is>
      </c>
      <c r="D1" s="5" t="inlineStr">
        <is>
          <t>Cantidad</t>
        </is>
      </c>
      <c r="E1" s="5" t="inlineStr">
        <is>
          <t>Precio</t>
        </is>
      </c>
      <c r="F1" s="5" t="inlineStr">
        <is>
          <t>Importe</t>
        </is>
      </c>
      <c r="H1" s="6" t="inlineStr">
        <is>
          <t>Resumen del día</t>
        </is>
      </c>
    </row>
    <row r="2">
      <c r="A2" t="n">
        <v>2101</v>
      </c>
      <c r="B2" s="7" t="n">
        <v>0.2951388888888889</v>
      </c>
      <c r="C2" t="inlineStr">
        <is>
          <t>Americano</t>
        </is>
      </c>
      <c r="D2" t="n">
        <v>4</v>
      </c>
      <c r="E2" s="8" t="n">
        <v>40</v>
      </c>
      <c r="F2" s="8">
        <f>D2*E2</f>
        <v/>
      </c>
      <c r="H2" s="9" t="inlineStr">
        <is>
          <t>Total vendido</t>
        </is>
      </c>
      <c r="I2" s="8">
        <f>SUM(F2:F15)</f>
        <v/>
      </c>
    </row>
    <row r="3">
      <c r="A3" t="n">
        <v>2102</v>
      </c>
      <c r="B3" s="7" t="n">
        <v>0.3131944444444444</v>
      </c>
      <c r="C3" t="inlineStr">
        <is>
          <t>Latte</t>
        </is>
      </c>
      <c r="D3" t="n">
        <v>4</v>
      </c>
      <c r="E3" s="8" t="n">
        <v>55</v>
      </c>
      <c r="F3" s="8">
        <f>D3*E3</f>
        <v/>
      </c>
      <c r="H3" s="9" t="inlineStr">
        <is>
          <t>Ticket promedio</t>
        </is>
      </c>
      <c r="I3" s="8">
        <f>AVERAGE(F2:F15)</f>
        <v/>
      </c>
    </row>
    <row r="4">
      <c r="A4" t="n">
        <v>2103</v>
      </c>
      <c r="B4" s="7" t="n">
        <v>0.3277777777777778</v>
      </c>
      <c r="C4" t="inlineStr">
        <is>
          <t>Concha</t>
        </is>
      </c>
      <c r="D4" t="n">
        <v>4</v>
      </c>
      <c r="E4" s="8" t="n">
        <v>22</v>
      </c>
      <c r="F4" s="8">
        <f>D4*E4</f>
        <v/>
      </c>
      <c r="H4" s="9" t="inlineStr">
        <is>
          <t>Venta mayor</t>
        </is>
      </c>
      <c r="I4" s="8">
        <f>MAX(F2:F15)</f>
        <v/>
      </c>
    </row>
    <row r="5">
      <c r="A5" t="n">
        <v>2104</v>
      </c>
      <c r="B5" s="7" t="n">
        <v>0.3444444444444444</v>
      </c>
      <c r="C5" t="inlineStr">
        <is>
          <t>Capuchino</t>
        </is>
      </c>
      <c r="D5" t="n">
        <v>2</v>
      </c>
      <c r="E5" s="8" t="n">
        <v>52</v>
      </c>
      <c r="F5" s="8">
        <f>D5*E5</f>
        <v/>
      </c>
      <c r="H5" s="9" t="inlineStr">
        <is>
          <t>Venta menor</t>
        </is>
      </c>
      <c r="I5" s="8">
        <f>MIN(F2:F15)</f>
        <v/>
      </c>
    </row>
    <row r="6">
      <c r="A6" t="n">
        <v>2105</v>
      </c>
      <c r="B6" s="7" t="n">
        <v>0.3736111111111111</v>
      </c>
      <c r="C6" t="inlineStr">
        <is>
          <t>Cold brew</t>
        </is>
      </c>
      <c r="D6" t="n">
        <v>2</v>
      </c>
      <c r="E6" s="8" t="n">
        <v>58</v>
      </c>
      <c r="F6" s="8">
        <f>D6*E6</f>
        <v/>
      </c>
      <c r="H6" s="9" t="inlineStr">
        <is>
          <t>Número de tickets</t>
        </is>
      </c>
      <c r="I6">
        <f>COUNT(F2:F15)</f>
        <v/>
      </c>
    </row>
    <row r="7">
      <c r="A7" t="n">
        <v>2106</v>
      </c>
      <c r="B7" s="7" t="n">
        <v>0.3888888888888889</v>
      </c>
      <c r="C7" t="inlineStr">
        <is>
          <t>Croissant</t>
        </is>
      </c>
      <c r="D7" t="n">
        <v>4</v>
      </c>
      <c r="E7" s="8" t="n">
        <v>38</v>
      </c>
      <c r="F7" s="8">
        <f>D7*E7</f>
        <v/>
      </c>
    </row>
    <row r="8">
      <c r="A8" t="n">
        <v>2107</v>
      </c>
      <c r="B8" s="7" t="n">
        <v>0.4055555555555556</v>
      </c>
      <c r="C8" t="inlineStr">
        <is>
          <t>Café de olla</t>
        </is>
      </c>
      <c r="D8" t="n">
        <v>1</v>
      </c>
      <c r="E8" s="8" t="n">
        <v>38</v>
      </c>
      <c r="F8" s="8">
        <f>D8*E8</f>
        <v/>
      </c>
      <c r="H8" s="9" t="inlineStr">
        <is>
          <t>Fondo inicial</t>
        </is>
      </c>
      <c r="I8" s="8" t="n">
        <v>1500</v>
      </c>
    </row>
    <row r="9">
      <c r="A9" t="n">
        <v>2108</v>
      </c>
      <c r="B9" s="7" t="n">
        <v>0.4375</v>
      </c>
      <c r="C9" t="inlineStr">
        <is>
          <t>Panini caprese</t>
        </is>
      </c>
      <c r="D9" t="n">
        <v>4</v>
      </c>
      <c r="E9" s="8" t="n">
        <v>85</v>
      </c>
      <c r="F9" s="8">
        <f>D9*E9</f>
        <v/>
      </c>
      <c r="H9" s="9" t="inlineStr">
        <is>
          <t>Dinero contado al cierre</t>
        </is>
      </c>
      <c r="I9" s="8" t="n">
        <v>3538</v>
      </c>
    </row>
    <row r="10">
      <c r="A10" t="n">
        <v>2109</v>
      </c>
      <c r="B10" s="7" t="n">
        <v>0.46875</v>
      </c>
      <c r="C10" t="inlineStr">
        <is>
          <t>Frappé moka</t>
        </is>
      </c>
      <c r="D10" t="n">
        <v>4</v>
      </c>
      <c r="E10" s="8" t="n">
        <v>68</v>
      </c>
      <c r="F10" s="8">
        <f>D10*E10</f>
        <v/>
      </c>
      <c r="H10" s="9" t="inlineStr">
        <is>
          <t>Diferencia de caja</t>
        </is>
      </c>
      <c r="I10" s="8">
        <f>I9-(I8+I2)</f>
        <v/>
      </c>
    </row>
    <row r="11">
      <c r="A11" t="n">
        <v>2110</v>
      </c>
      <c r="B11" s="7" t="n">
        <v>0.5333333333333333</v>
      </c>
      <c r="C11" t="inlineStr">
        <is>
          <t>Brownie</t>
        </is>
      </c>
      <c r="D11" t="n">
        <v>4</v>
      </c>
      <c r="E11" s="8" t="n">
        <v>40</v>
      </c>
      <c r="F11" s="8">
        <f>D11*E11</f>
        <v/>
      </c>
      <c r="H11" s="9" t="inlineStr">
        <is>
          <t>IVA incluido en las ventas</t>
        </is>
      </c>
      <c r="I11" s="8">
        <f>I2-I2/1.16</f>
        <v/>
      </c>
    </row>
    <row r="12">
      <c r="A12" t="n">
        <v>2111</v>
      </c>
      <c r="B12" s="7" t="n">
        <v>0.5666666666666667</v>
      </c>
      <c r="C12" t="inlineStr">
        <is>
          <t>Espresso</t>
        </is>
      </c>
      <c r="D12" t="n">
        <v>1</v>
      </c>
      <c r="E12" s="8" t="n">
        <v>35</v>
      </c>
      <c r="F12" s="8">
        <f>D12*E12</f>
        <v/>
      </c>
    </row>
    <row r="13">
      <c r="A13" t="n">
        <v>2112</v>
      </c>
      <c r="B13" s="7" t="n">
        <v>0.6319444444444444</v>
      </c>
      <c r="C13" t="inlineStr">
        <is>
          <t>Chai latte</t>
        </is>
      </c>
      <c r="D13" t="n">
        <v>3</v>
      </c>
      <c r="E13" s="8" t="n">
        <v>54</v>
      </c>
      <c r="F13" s="8">
        <f>D13*E13</f>
        <v/>
      </c>
    </row>
    <row r="14">
      <c r="A14" t="n">
        <v>2113</v>
      </c>
      <c r="B14" s="7" t="n">
        <v>0.7118055555555556</v>
      </c>
      <c r="C14" t="inlineStr">
        <is>
          <t>Latte helado</t>
        </is>
      </c>
      <c r="D14" t="n">
        <v>2</v>
      </c>
      <c r="E14" s="8" t="n">
        <v>58</v>
      </c>
      <c r="F14" s="8">
        <f>D14*E14</f>
        <v/>
      </c>
    </row>
    <row r="15">
      <c r="A15" t="n">
        <v>2114</v>
      </c>
      <c r="B15" s="7" t="n">
        <v>0.7777777777777778</v>
      </c>
      <c r="C15" t="inlineStr">
        <is>
          <t>Latte</t>
        </is>
      </c>
      <c r="D15" t="n">
        <v>2</v>
      </c>
      <c r="E15" s="8" t="n">
        <v>55</v>
      </c>
      <c r="F15" s="8">
        <f>D15*E15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2026-10-16T00:12:57Z</dcterms:created>
  <dcterms:modified xsi:type="dcterms:W3CDTF">2026-10-16T00:12:57Z</dcterms:modified>
</cp:coreProperties>
</file>